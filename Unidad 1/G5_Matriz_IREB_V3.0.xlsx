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dria\Documents\GitHub\RicardoLainez36838_G5_ADSW\Unidad 1\"/>
    </mc:Choice>
  </mc:AlternateContent>
  <xr:revisionPtr revIDLastSave="0" documentId="13_ncr:1_{D0179C2D-24FC-402F-B5FD-044D0B3785DF}" xr6:coauthVersionLast="47" xr6:coauthVersionMax="47" xr10:uidLastSave="{00000000-0000-0000-0000-000000000000}"/>
  <bookViews>
    <workbookView xWindow="-109" yWindow="-109" windowWidth="26301" windowHeight="14169" firstSheet="4" activeTab="4" xr2:uid="{00000000-000D-0000-FFFF-FFFF00000000}"/>
  </bookViews>
  <sheets>
    <sheet name="Matriz Ckeck LIst" sheetId="1" r:id="rId1"/>
    <sheet name="LISTA DE COMPROBACION - CU0-0" sheetId="2" r:id="rId2"/>
    <sheet name="LISTA DE COMPROBACION - CU0-1" sheetId="3" r:id="rId3"/>
    <sheet name="LISTA DE COMPROBACION - CU0-2" sheetId="4" r:id="rId4"/>
    <sheet name="LISTA DE COMPROBACION - CU0-3" sheetId="5" r:id="rId5"/>
    <sheet name="LISTA DE COMPROBACION - CU0-4" sheetId="6" r:id="rId6"/>
    <sheet name="LISTA DE COMPROBACION - CU0-5" sheetId="7" r:id="rId7"/>
    <sheet name="LISTA DE COMPROBACION - CU0-6" sheetId="8" r:id="rId8"/>
    <sheet name="LISTA DE COMPROBACION - CU0-7" sheetId="9" r:id="rId9"/>
    <sheet name="RECOMENDACIONES - CU 0-0" sheetId="10" r:id="rId10"/>
    <sheet name="RECOMENDACIONES - CU 0-1" sheetId="11" r:id="rId11"/>
    <sheet name="RECOMENDACIONES - CU 0-2" sheetId="12" r:id="rId12"/>
    <sheet name="RECOMENDACIONES - CU 0-3" sheetId="13" r:id="rId13"/>
    <sheet name="RECOMENDACIONES - CU 0-4" sheetId="14" r:id="rId14"/>
    <sheet name="RECOMENDACIONES - CU 0-5" sheetId="15" r:id="rId15"/>
    <sheet name="RECOMENDACIONES - CU 0-6" sheetId="16" r:id="rId16"/>
    <sheet name="RECOMENDACIONES - CU 0-7" sheetId="17" r:id="rId17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5" i="9" l="1"/>
  <c r="D36" i="9" s="1"/>
  <c r="C35" i="9"/>
  <c r="C36" i="9" s="1"/>
  <c r="D28" i="9"/>
  <c r="C28" i="9"/>
  <c r="D27" i="9"/>
  <c r="C27" i="9"/>
  <c r="D17" i="9"/>
  <c r="D18" i="9" s="1"/>
  <c r="C17" i="9"/>
  <c r="C18" i="9" s="1"/>
  <c r="D35" i="8"/>
  <c r="D36" i="8" s="1"/>
  <c r="C35" i="8"/>
  <c r="C36" i="8" s="1"/>
  <c r="D28" i="8"/>
  <c r="C28" i="8"/>
  <c r="D27" i="8"/>
  <c r="C27" i="8"/>
  <c r="D17" i="8"/>
  <c r="D18" i="8" s="1"/>
  <c r="C17" i="8"/>
  <c r="C18" i="8" s="1"/>
  <c r="D35" i="7"/>
  <c r="D36" i="7" s="1"/>
  <c r="C35" i="7"/>
  <c r="C36" i="7" s="1"/>
  <c r="D27" i="7"/>
  <c r="D28" i="7" s="1"/>
  <c r="C27" i="7"/>
  <c r="C28" i="7" s="1"/>
  <c r="D17" i="7"/>
  <c r="D18" i="7" s="1"/>
  <c r="C17" i="7"/>
  <c r="C18" i="7" s="1"/>
  <c r="D35" i="6"/>
  <c r="D36" i="6" s="1"/>
  <c r="C35" i="6"/>
  <c r="C36" i="6" s="1"/>
  <c r="D27" i="6"/>
  <c r="D28" i="6" s="1"/>
  <c r="C27" i="6"/>
  <c r="C28" i="6" s="1"/>
  <c r="D17" i="6"/>
  <c r="D18" i="6" s="1"/>
  <c r="C17" i="6"/>
  <c r="C18" i="6" s="1"/>
  <c r="D35" i="5"/>
  <c r="D36" i="5" s="1"/>
  <c r="C35" i="5"/>
  <c r="C36" i="5" s="1"/>
  <c r="D27" i="5"/>
  <c r="D28" i="5" s="1"/>
  <c r="C27" i="5"/>
  <c r="C28" i="5" s="1"/>
  <c r="D17" i="5"/>
  <c r="D18" i="5" s="1"/>
  <c r="C17" i="5"/>
  <c r="C18" i="5" s="1"/>
  <c r="D35" i="4"/>
  <c r="D36" i="4" s="1"/>
  <c r="C35" i="4"/>
  <c r="C36" i="4" s="1"/>
  <c r="D27" i="4"/>
  <c r="D28" i="4" s="1"/>
  <c r="C27" i="4"/>
  <c r="C28" i="4" s="1"/>
  <c r="D17" i="4"/>
  <c r="D18" i="4" s="1"/>
  <c r="C17" i="4"/>
  <c r="C18" i="4" s="1"/>
  <c r="D35" i="3"/>
  <c r="D36" i="3" s="1"/>
  <c r="C35" i="3"/>
  <c r="C36" i="3" s="1"/>
  <c r="D27" i="3"/>
  <c r="D28" i="3" s="1"/>
  <c r="C27" i="3"/>
  <c r="C28" i="3" s="1"/>
  <c r="D17" i="3"/>
  <c r="D18" i="3" s="1"/>
  <c r="C17" i="3"/>
  <c r="C18" i="3" s="1"/>
  <c r="D35" i="2"/>
  <c r="D36" i="2" s="1"/>
  <c r="C35" i="2"/>
  <c r="C36" i="2" s="1"/>
  <c r="D27" i="2"/>
  <c r="D28" i="2" s="1"/>
  <c r="C27" i="2"/>
  <c r="C28" i="2" s="1"/>
  <c r="D17" i="2"/>
  <c r="D18" i="2" s="1"/>
  <c r="C17" i="2"/>
  <c r="C1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7" authorId="0" shapeId="0" xr:uid="{00000000-0006-0000-0000-00000C000000}">
      <text>
        <r>
          <rPr>
            <sz val="10"/>
            <rFont val="Arial"/>
            <family val="2"/>
          </rPr>
          <t>======
ID#AAACIY2wqRc
jeny ruiz    (2026-10-01 14:49:28)
Control del nivel de acuedo entre las partes Cliente y Desarrollador</t>
        </r>
      </text>
    </comment>
    <comment ref="H7" authorId="0" shapeId="0" xr:uid="{00000000-0006-0000-0000-00000D000000}">
      <text>
        <r>
          <rPr>
            <sz val="10"/>
            <rFont val="Arial"/>
            <family val="2"/>
          </rPr>
          <t>======
ID#AAACIY2wqQ8
jeny ruiz    (2026-10-01 14:49:28)
La información contenida en memoria se utiliza para actualizar los campos de la base de datos.</t>
        </r>
      </text>
    </comment>
    <comment ref="K7" authorId="0" shapeId="0" xr:uid="{00000000-0006-0000-0000-00000F000000}">
      <text>
        <r>
          <rPr>
            <sz val="10"/>
            <rFont val="Arial"/>
            <family val="2"/>
          </rPr>
          <t>======
ID#AAACIY2wqTA
jeny ruiz    (2026-10-01 14:49:28)
Control del nivel de acuedo entre las partes Cliente y Desarrollador</t>
        </r>
      </text>
    </comment>
    <comment ref="M7" authorId="0" shapeId="0" xr:uid="{00000000-0006-0000-0000-000010000000}">
      <text>
        <r>
          <rPr>
            <sz val="10"/>
            <rFont val="Arial"/>
            <family val="2"/>
          </rPr>
          <t>======
ID#AAACIY2wqT0
jeny ruiz    (2026-10-01 14:49:28)
Se guarda en un archivo Excel los registros que dieron un problema en la actualización.</t>
        </r>
      </text>
    </comment>
    <comment ref="N7" authorId="0" shapeId="0" xr:uid="{00000000-0006-0000-0000-000012000000}">
      <text>
        <r>
          <rPr>
            <sz val="10"/>
            <rFont val="Arial"/>
            <family val="2"/>
          </rPr>
          <t>======
ID#AAACIY2wqUA
jeny ruiz    (2026-10-01 14:49:28)
Control del nivel de acuedo entre las partes Cliente y Desarrollador</t>
        </r>
      </text>
    </comment>
    <comment ref="O7" authorId="0" shapeId="0" xr:uid="{00000000-0006-0000-0000-000013000000}">
      <text>
        <r>
          <rPr>
            <sz val="10"/>
            <rFont val="Arial"/>
            <family val="2"/>
          </rPr>
          <t>======
ID#AAACIY2wqQg
jeny ruiz    (2026-10-01 14:49:28)
jeny ruiz:
Posterior a la actualización, se guardaran automáticamente el nombre de usuario, fecha, hora, registro antiguo, registro nuevo.</t>
        </r>
      </text>
    </comment>
    <comment ref="C9" authorId="0" shapeId="0" xr:uid="{00000000-0006-0000-0000-000001000000}">
      <text>
        <r>
          <rPr>
            <sz val="10"/>
            <rFont val="Arial"/>
            <family val="2"/>
          </rPr>
          <t>======
ID#AAACIY2wqTU
jeny ruiz    (2026-10-01 14:49:28)
Todos los interesados reconocen que el  requisito es correcto y relevante</t>
        </r>
      </text>
    </comment>
    <comment ref="H9" authorId="0" shapeId="0" xr:uid="{00000000-0006-0000-0000-00000E000000}">
      <text>
        <r>
          <rPr>
            <sz val="10"/>
            <rFont val="Arial"/>
            <family val="2"/>
          </rPr>
          <t>======
ID#AAACIY2wqSA
jeny ruiz    (2026-10-01 14:49:28)
Es importante ingresar el archivo plano en formato excel para el cliente y el desarrollador</t>
        </r>
      </text>
    </comment>
    <comment ref="M9" authorId="0" shapeId="0" xr:uid="{00000000-0006-0000-0000-000011000000}">
      <text>
        <r>
          <rPr>
            <sz val="10"/>
            <rFont val="Arial"/>
            <family val="2"/>
          </rPr>
          <t>======
ID#AAACIY2wqTw
jeny ruiz    (2026-10-01 14:49:28)
Es importante ingresar el archivo plano en formato excel para el cliente y el desarrollador</t>
        </r>
      </text>
    </comment>
    <comment ref="O9" authorId="0" shapeId="0" xr:uid="{00000000-0006-0000-0000-000014000000}">
      <text>
        <r>
          <rPr>
            <sz val="10"/>
            <rFont val="Arial"/>
            <family val="2"/>
          </rPr>
          <t>======
ID#AAACIY2wqTg
jeny ruiz    (2026-10-01 14:49:28)
Es importante ingresar el archivo plano en formato excel para el cliente y el desarrollador</t>
        </r>
      </text>
    </comment>
    <comment ref="C10" authorId="0" shapeId="0" xr:uid="{00000000-0006-0000-0000-000002000000}">
      <text>
        <r>
          <rPr>
            <sz val="10"/>
            <rFont val="Arial"/>
            <family val="2"/>
          </rPr>
          <t>======
ID#AAACIY2wqQ0
jeny ruiz    (2026-10-01 14:49:28)
Ponderado por importancia o prioridad</t>
        </r>
      </text>
    </comment>
    <comment ref="C11" authorId="0" shapeId="0" xr:uid="{00000000-0006-0000-0000-000003000000}">
      <text>
        <r>
          <rPr>
            <sz val="10"/>
            <rFont val="Arial"/>
            <family val="2"/>
          </rPr>
          <t>======
ID#AAACIY2wqS8
jeny ruiz    (2026-10-01 14:49:28)
Todos los lectores comprenden de la misma manera, sólo una interpretación</t>
        </r>
      </text>
    </comment>
    <comment ref="C12" authorId="0" shapeId="0" xr:uid="{00000000-0006-0000-0000-000004000000}">
      <text>
        <r>
          <rPr>
            <sz val="10"/>
            <rFont val="Arial"/>
            <family val="2"/>
          </rPr>
          <t>======
ID#AAACIY2wqSo
jeny ruiz    (2026-10-01 14:49:28)
Toda nueva información  ha sido incorporada</t>
        </r>
      </text>
    </comment>
    <comment ref="C13" authorId="0" shapeId="0" xr:uid="{00000000-0006-0000-0000-000005000000}">
      <text>
        <r>
          <rPr>
            <sz val="10"/>
            <rFont val="Arial"/>
            <family val="2"/>
          </rPr>
          <t>======
ID#AAACIY2wqSY
jeny ruiz    (2026-10-01 14:49:28)
Refleja las espectativas  del implicado</t>
        </r>
      </text>
    </comment>
    <comment ref="C14" authorId="0" shapeId="0" xr:uid="{00000000-0006-0000-0000-000006000000}">
      <text>
        <r>
          <rPr>
            <sz val="10"/>
            <rFont val="Arial"/>
            <family val="2"/>
          </rPr>
          <t>======
ID#AAACIY2wqQI
jeny ruiz    (2026-10-01 14:49:28)
Sin contradicciones</t>
        </r>
      </text>
    </comment>
    <comment ref="C15" authorId="0" shapeId="0" xr:uid="{00000000-0006-0000-0000-000007000000}">
      <text>
        <r>
          <rPr>
            <sz val="10"/>
            <rFont val="Arial"/>
            <family val="2"/>
          </rPr>
          <t>======
ID#AAACIY2wqS4
jeny ruiz    (2026-10-01 14:49:28)
Su cumplimiento o no cumplimiento puede der probado con un esfuerzo razonable</t>
        </r>
      </text>
    </comment>
    <comment ref="C16" authorId="0" shapeId="0" xr:uid="{00000000-0006-0000-0000-000008000000}">
      <text>
        <r>
          <rPr>
            <sz val="10"/>
            <rFont val="Arial"/>
            <family val="2"/>
          </rPr>
          <t>======
ID#AAACIY2wqRQ
jeny ruiz    (2026-10-01 14:49:28)
Puede ser implementado  y desarrollado en las condiciones actuales(tiempo, Presupuest,, orgtanizaciòn, ect)</t>
        </r>
      </text>
    </comment>
    <comment ref="C17" authorId="0" shapeId="0" xr:uid="{00000000-0006-0000-0000-000009000000}">
      <text>
        <r>
          <rPr>
            <sz val="10"/>
            <rFont val="Arial"/>
            <family val="2"/>
          </rPr>
          <t>======
ID#AAACIY2wqTo
jeny ruiz    (2026-10-01 14:49:28)
El origen del requisito y sus relaciones con otros requisitos  están claros.</t>
        </r>
      </text>
    </comment>
    <comment ref="C18" authorId="0" shapeId="0" xr:uid="{00000000-0006-0000-0000-00000A000000}">
      <text>
        <r>
          <rPr>
            <sz val="10"/>
            <rFont val="Arial"/>
            <family val="2"/>
          </rPr>
          <t>======
ID#AAACIY2wqQc
jeny ruiz    (2026-10-01 14:49:28)
Trata todos los asuntos relevantes</t>
        </r>
      </text>
    </comment>
    <comment ref="C19" authorId="0" shapeId="0" xr:uid="{00000000-0006-0000-0000-00000B000000}">
      <text>
        <r>
          <rPr>
            <sz val="10"/>
            <rFont val="Arial"/>
            <family val="2"/>
          </rPr>
          <t>======
ID#AAACIY2wqTs
jeny ruiz    (2026-10-01 14:49:28)
Para todos los interesados dependiendo  de la fase del proyecto podrían estar involucrados  distintos implicados,(Glosario de tèrminos)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8" authorId="0" shapeId="0" xr:uid="{00000000-0006-0000-0200-000001000000}">
      <text>
        <r>
          <rPr>
            <sz val="10"/>
            <rFont val="Arial"/>
            <family val="2"/>
          </rPr>
          <t>======
ID#AAACIY2wqSg
ESPE    (2026-10-01 14:49:28)
COMPLETITUD DOCUMENTO</t>
        </r>
      </text>
    </comment>
    <comment ref="B9" authorId="0" shapeId="0" xr:uid="{00000000-0006-0000-0200-000002000000}">
      <text>
        <r>
          <rPr>
            <sz val="10"/>
            <rFont val="Arial"/>
            <family val="2"/>
          </rPr>
          <t>======
ID#AAACIY2wqSM
ESPE    (2026-10-01 14:49:28)
COMPLETITUD REQUISITO INDIVIDUAL</t>
        </r>
      </text>
    </comment>
    <comment ref="B10" authorId="0" shapeId="0" xr:uid="{00000000-0006-0000-0200-000003000000}">
      <text>
        <r>
          <rPr>
            <sz val="10"/>
            <rFont val="Arial"/>
            <family val="2"/>
          </rPr>
          <t>======
ID#AAACIY2wqR4
ESPE    (2026-10-01 14:49:28)
TRAZABILIDAD</t>
        </r>
      </text>
    </comment>
    <comment ref="B11" authorId="0" shapeId="0" xr:uid="{00000000-0006-0000-0200-000004000000}">
      <text>
        <r>
          <rPr>
            <sz val="10"/>
            <rFont val="Arial"/>
            <family val="2"/>
          </rPr>
          <t>======
ID#AAACIY2wqRw
ESPE    (2026-10-01 14:49:28)
trazabilidad</t>
        </r>
      </text>
    </comment>
    <comment ref="B12" authorId="0" shapeId="0" xr:uid="{00000000-0006-0000-0200-000005000000}">
      <text>
        <r>
          <rPr>
            <sz val="10"/>
            <rFont val="Arial"/>
            <family val="2"/>
          </rPr>
          <t>======
ID#AAACIY2wqTc
ESPE    (2026-10-01 14:49:28)
TRAZABILIDAD</t>
        </r>
      </text>
    </comment>
    <comment ref="B13" authorId="0" shapeId="0" xr:uid="{00000000-0006-0000-0200-000006000000}">
      <text>
        <r>
          <rPr>
            <sz val="10"/>
            <rFont val="Arial"/>
            <family val="2"/>
          </rPr>
          <t>======
ID#AAACIY2wqQQ
ESPE    (2026-10-01 14:49:28)
CORRECCION</t>
        </r>
      </text>
    </comment>
    <comment ref="B14" authorId="0" shapeId="0" xr:uid="{00000000-0006-0000-0200-000007000000}">
      <text>
        <r>
          <rPr>
            <sz val="10"/>
            <rFont val="Arial"/>
            <family val="2"/>
          </rPr>
          <t>======
ID#AAACIY2wqRg
ESPE    (2026-10-01 14:49:28)
CONSISTENCIA</t>
        </r>
      </text>
    </comment>
    <comment ref="B15" authorId="0" shapeId="0" xr:uid="{00000000-0006-0000-0200-000008000000}">
      <text>
        <r>
          <rPr>
            <sz val="10"/>
            <rFont val="Arial"/>
            <family val="2"/>
          </rPr>
          <t>======
ID#AAACIY2wqTE
ESPE    (2026-10-01 14:49:28)
NECESIDAD</t>
        </r>
      </text>
    </comment>
    <comment ref="B16" authorId="0" shapeId="0" xr:uid="{00000000-0006-0000-0200-000009000000}">
      <text>
        <r>
          <rPr>
            <sz val="10"/>
            <rFont val="Arial"/>
            <family val="2"/>
          </rPr>
          <t>======
ID#AAACIY2wqRE
ESPE    (2026-10-01 14:49:28)
verificable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8" authorId="0" shapeId="0" xr:uid="{00000000-0006-0000-0300-000001000000}">
      <text>
        <r>
          <rPr>
            <sz val="10"/>
            <rFont val="Arial"/>
            <family val="2"/>
          </rPr>
          <t>======
ID#AAACIY2wqQM
ESPE    (2026-10-01 14:49:28)
COMPLETITUD DOCUMENTO</t>
        </r>
      </text>
    </comment>
    <comment ref="B9" authorId="0" shapeId="0" xr:uid="{00000000-0006-0000-0300-000002000000}">
      <text>
        <r>
          <rPr>
            <sz val="10"/>
            <rFont val="Arial"/>
            <family val="2"/>
          </rPr>
          <t>======
ID#AAACIY2wqQs
ESPE    (2026-10-01 14:49:28)
COMPLETITUD REQUISITO INDIVIDUAL</t>
        </r>
      </text>
    </comment>
    <comment ref="B10" authorId="0" shapeId="0" xr:uid="{00000000-0006-0000-0300-000003000000}">
      <text>
        <r>
          <rPr>
            <sz val="10"/>
            <rFont val="Arial"/>
            <family val="2"/>
          </rPr>
          <t>======
ID#AAACIY2wqQE
ESPE    (2026-10-01 14:49:28)
TRAZABILIDAD</t>
        </r>
      </text>
    </comment>
    <comment ref="B11" authorId="0" shapeId="0" xr:uid="{00000000-0006-0000-0300-000004000000}">
      <text>
        <r>
          <rPr>
            <sz val="10"/>
            <rFont val="Arial"/>
            <family val="2"/>
          </rPr>
          <t>======
ID#AAACIY2wqQY
ESPE    (2026-10-01 14:49:28)
trazabilidad</t>
        </r>
      </text>
    </comment>
    <comment ref="B12" authorId="0" shapeId="0" xr:uid="{00000000-0006-0000-0300-000005000000}">
      <text>
        <r>
          <rPr>
            <sz val="10"/>
            <rFont val="Arial"/>
            <family val="2"/>
          </rPr>
          <t>======
ID#AAACIY2wqR8
ESPE    (2026-10-01 14:49:28)
TRAZABILIDAD</t>
        </r>
      </text>
    </comment>
    <comment ref="B13" authorId="0" shapeId="0" xr:uid="{00000000-0006-0000-0300-000006000000}">
      <text>
        <r>
          <rPr>
            <sz val="10"/>
            <rFont val="Arial"/>
            <family val="2"/>
          </rPr>
          <t>======
ID#AAACIY2wqTM
ESPE    (2026-10-01 14:49:28)
CORRECCION</t>
        </r>
      </text>
    </comment>
    <comment ref="B14" authorId="0" shapeId="0" xr:uid="{00000000-0006-0000-0300-000007000000}">
      <text>
        <r>
          <rPr>
            <sz val="10"/>
            <rFont val="Arial"/>
            <family val="2"/>
          </rPr>
          <t>======
ID#AAACIY2wqT8
ESPE    (2026-10-01 14:49:28)
CONSISTENCIA</t>
        </r>
      </text>
    </comment>
    <comment ref="B15" authorId="0" shapeId="0" xr:uid="{00000000-0006-0000-0300-000008000000}">
      <text>
        <r>
          <rPr>
            <sz val="10"/>
            <rFont val="Arial"/>
            <family val="2"/>
          </rPr>
          <t>======
ID#AAACIY2wqQw
ESPE    (2026-10-01 14:49:28)
NECESIDAD</t>
        </r>
      </text>
    </comment>
    <comment ref="B16" authorId="0" shapeId="0" xr:uid="{00000000-0006-0000-0300-000009000000}">
      <text>
        <r>
          <rPr>
            <sz val="10"/>
            <rFont val="Arial"/>
            <family val="2"/>
          </rPr>
          <t>======
ID#AAACIY2wqR0
ESPE    (2026-10-01 14:49:28)
verificable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8" authorId="0" shapeId="0" xr:uid="{00000000-0006-0000-0400-000001000000}">
      <text>
        <r>
          <rPr>
            <sz val="10"/>
            <rFont val="Arial"/>
            <family val="2"/>
          </rPr>
          <t>======
ID#AAACIY2wqQk
ESPE    (2026-10-01 14:49:28)
COMPLETITUD DOCUMENTO</t>
        </r>
      </text>
    </comment>
    <comment ref="B9" authorId="0" shapeId="0" xr:uid="{00000000-0006-0000-0400-000002000000}">
      <text>
        <r>
          <rPr>
            <sz val="10"/>
            <rFont val="Arial"/>
            <family val="2"/>
          </rPr>
          <t>======
ID#AAACIY2wqTI
ESPE    (2026-10-01 14:49:28)
COMPLETITUD REQUISITO INDIVIDUAL</t>
        </r>
      </text>
    </comment>
    <comment ref="B10" authorId="0" shapeId="0" xr:uid="{00000000-0006-0000-0400-000003000000}">
      <text>
        <r>
          <rPr>
            <sz val="10"/>
            <rFont val="Arial"/>
            <family val="2"/>
          </rPr>
          <t>======
ID#AAACIY2wqRk
ESPE    (2026-10-01 14:49:28)
TRAZABILIDAD</t>
        </r>
      </text>
    </comment>
    <comment ref="B11" authorId="0" shapeId="0" xr:uid="{00000000-0006-0000-0400-000004000000}">
      <text>
        <r>
          <rPr>
            <sz val="10"/>
            <rFont val="Arial"/>
            <family val="2"/>
          </rPr>
          <t>======
ID#AAACIY2wqTY
ESPE    (2026-10-01 14:49:28)
trazabilidad</t>
        </r>
      </text>
    </comment>
    <comment ref="B12" authorId="0" shapeId="0" xr:uid="{00000000-0006-0000-0400-000005000000}">
      <text>
        <r>
          <rPr>
            <sz val="10"/>
            <rFont val="Arial"/>
            <family val="2"/>
          </rPr>
          <t>======
ID#AAACIY2wqQo
ESPE    (2026-10-01 14:49:28)
TRAZABILIDAD</t>
        </r>
      </text>
    </comment>
    <comment ref="B13" authorId="0" shapeId="0" xr:uid="{00000000-0006-0000-0400-000006000000}">
      <text>
        <r>
          <rPr>
            <sz val="10"/>
            <rFont val="Arial"/>
            <family val="2"/>
          </rPr>
          <t>======
ID#AAACIY2wqRo
ESPE    (2026-10-01 14:49:28)
CORRECCION</t>
        </r>
      </text>
    </comment>
    <comment ref="B14" authorId="0" shapeId="0" xr:uid="{00000000-0006-0000-0400-000007000000}">
      <text>
        <r>
          <rPr>
            <sz val="10"/>
            <rFont val="Arial"/>
            <family val="2"/>
          </rPr>
          <t>======
ID#AAACIY2wqQ4
ESPE    (2026-10-01 14:49:28)
CONSISTENCIA</t>
        </r>
      </text>
    </comment>
    <comment ref="B15" authorId="0" shapeId="0" xr:uid="{00000000-0006-0000-0400-000008000000}">
      <text>
        <r>
          <rPr>
            <sz val="10"/>
            <rFont val="Arial"/>
            <family val="2"/>
          </rPr>
          <t>======
ID#AAACIY2wqSU
ESPE    (2026-10-01 14:49:28)
NECESIDAD</t>
        </r>
      </text>
    </comment>
    <comment ref="B16" authorId="0" shapeId="0" xr:uid="{00000000-0006-0000-0400-000009000000}">
      <text>
        <r>
          <rPr>
            <sz val="10"/>
            <rFont val="Arial"/>
            <family val="2"/>
          </rPr>
          <t>======
ID#AAACIY2wqRI
ESPE    (2026-10-01 14:49:28)
verificable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8" authorId="0" shapeId="0" xr:uid="{00000000-0006-0000-0500-000001000000}">
      <text>
        <r>
          <rPr>
            <sz val="10"/>
            <rFont val="Arial"/>
            <family val="2"/>
          </rPr>
          <t>======
ID#AAACIY2wqQA
ESPE    (2026-10-01 14:49:28)
COMPLETITUD DOCUMENTO</t>
        </r>
      </text>
    </comment>
    <comment ref="B9" authorId="0" shapeId="0" xr:uid="{00000000-0006-0000-0500-000002000000}">
      <text>
        <r>
          <rPr>
            <sz val="10"/>
            <rFont val="Arial"/>
            <family val="2"/>
          </rPr>
          <t>======
ID#AAACIY2wqSQ
ESPE    (2026-10-01 14:49:28)
COMPLETITUD REQUISITO INDIVIDUAL</t>
        </r>
      </text>
    </comment>
    <comment ref="B10" authorId="0" shapeId="0" xr:uid="{00000000-0006-0000-0500-000003000000}">
      <text>
        <r>
          <rPr>
            <sz val="10"/>
            <rFont val="Arial"/>
            <family val="2"/>
          </rPr>
          <t>======
ID#AAACIY2wqTQ
ESPE    (2026-10-01 14:49:28)
TRAZABILIDAD</t>
        </r>
      </text>
    </comment>
    <comment ref="B11" authorId="0" shapeId="0" xr:uid="{00000000-0006-0000-0500-000004000000}">
      <text>
        <r>
          <rPr>
            <sz val="10"/>
            <rFont val="Arial"/>
            <family val="2"/>
          </rPr>
          <t>======
ID#AAACIY2wqSI
ESPE    (2026-10-01 14:49:28)
trazabilidad</t>
        </r>
      </text>
    </comment>
    <comment ref="B12" authorId="0" shapeId="0" xr:uid="{00000000-0006-0000-0500-000005000000}">
      <text>
        <r>
          <rPr>
            <sz val="10"/>
            <rFont val="Arial"/>
            <family val="2"/>
          </rPr>
          <t>======
ID#AAACIY2wqS0
ESPE    (2026-10-01 14:49:28)
TRAZABILIDAD</t>
        </r>
      </text>
    </comment>
    <comment ref="B13" authorId="0" shapeId="0" xr:uid="{00000000-0006-0000-0500-000006000000}">
      <text>
        <r>
          <rPr>
            <sz val="10"/>
            <rFont val="Arial"/>
            <family val="2"/>
          </rPr>
          <t>======
ID#AAACIY2wqSs
ESPE    (2026-10-01 14:49:28)
CORRECCION</t>
        </r>
      </text>
    </comment>
    <comment ref="B14" authorId="0" shapeId="0" xr:uid="{00000000-0006-0000-0500-000007000000}">
      <text>
        <r>
          <rPr>
            <sz val="10"/>
            <rFont val="Arial"/>
            <family val="2"/>
          </rPr>
          <t>======
ID#AAACIY2wqRs
ESPE    (2026-10-01 14:49:28)
CONSISTENCIA</t>
        </r>
      </text>
    </comment>
    <comment ref="B15" authorId="0" shapeId="0" xr:uid="{00000000-0006-0000-0500-000008000000}">
      <text>
        <r>
          <rPr>
            <sz val="10"/>
            <rFont val="Arial"/>
            <family val="2"/>
          </rPr>
          <t>======
ID#AAACIY2wqRU
ESPE    (2026-10-01 14:49:28)
NECESIDAD</t>
        </r>
      </text>
    </comment>
    <comment ref="B16" authorId="0" shapeId="0" xr:uid="{00000000-0006-0000-0500-000009000000}">
      <text>
        <r>
          <rPr>
            <sz val="10"/>
            <rFont val="Arial"/>
            <family val="2"/>
          </rPr>
          <t>======
ID#AAACIY2wqTk
ESPE    (2026-10-01 14:49:28)
verificable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8" authorId="0" shapeId="0" xr:uid="{00000000-0006-0000-0600-000001000000}">
      <text>
        <r>
          <rPr>
            <sz val="10"/>
            <rFont val="Arial"/>
            <family val="2"/>
          </rPr>
          <t>======
ID#AAACIY2wqSE
ESPE    (2026-10-01 14:49:28)
COMPLETITUD DOCUMENTO</t>
        </r>
      </text>
    </comment>
    <comment ref="B9" authorId="0" shapeId="0" xr:uid="{00000000-0006-0000-0600-000002000000}">
      <text>
        <r>
          <rPr>
            <sz val="10"/>
            <rFont val="Arial"/>
            <family val="2"/>
          </rPr>
          <t>======
ID#AAACIY2wqSw
ESPE    (2026-10-01 14:49:28)
COMPLETITUD REQUISITO INDIVIDUAL</t>
        </r>
      </text>
    </comment>
    <comment ref="B10" authorId="0" shapeId="0" xr:uid="{00000000-0006-0000-0600-000003000000}">
      <text>
        <r>
          <rPr>
            <sz val="10"/>
            <rFont val="Arial"/>
            <family val="2"/>
          </rPr>
          <t>======
ID#AAACIY2wqSc
ESPE    (2026-10-01 14:49:28)
TRAZABILIDAD</t>
        </r>
      </text>
    </comment>
    <comment ref="B11" authorId="0" shapeId="0" xr:uid="{00000000-0006-0000-0600-000004000000}">
      <text>
        <r>
          <rPr>
            <sz val="10"/>
            <rFont val="Arial"/>
            <family val="2"/>
          </rPr>
          <t>======
ID#AAACIY2wqSk
ESPE    (2026-10-01 14:49:28)
trazabilidad</t>
        </r>
      </text>
    </comment>
    <comment ref="B12" authorId="0" shapeId="0" xr:uid="{00000000-0006-0000-0600-000005000000}">
      <text>
        <r>
          <rPr>
            <sz val="10"/>
            <rFont val="Arial"/>
            <family val="2"/>
          </rPr>
          <t>======
ID#AAACIY2wqRM
ESPE    (2026-10-01 14:49:28)
TRAZABILIDAD</t>
        </r>
      </text>
    </comment>
    <comment ref="B13" authorId="0" shapeId="0" xr:uid="{00000000-0006-0000-0600-000006000000}">
      <text>
        <r>
          <rPr>
            <sz val="10"/>
            <rFont val="Arial"/>
            <family val="2"/>
          </rPr>
          <t>======
ID#AAACIY2wqT4
ESPE    (2026-10-01 14:49:28)
CORRECCION</t>
        </r>
      </text>
    </comment>
    <comment ref="B14" authorId="0" shapeId="0" xr:uid="{00000000-0006-0000-0600-000007000000}">
      <text>
        <r>
          <rPr>
            <sz val="10"/>
            <rFont val="Arial"/>
            <family val="2"/>
          </rPr>
          <t>======
ID#AAACIY2wqQU
ESPE    (2026-10-01 14:49:28)
CONSISTENCIA</t>
        </r>
      </text>
    </comment>
    <comment ref="B15" authorId="0" shapeId="0" xr:uid="{00000000-0006-0000-0600-000008000000}">
      <text>
        <r>
          <rPr>
            <sz val="10"/>
            <rFont val="Arial"/>
            <family val="2"/>
          </rPr>
          <t>======
ID#AAACIY2wqRY
ESPE    (2026-10-01 14:49:28)
NECESIDAD</t>
        </r>
      </text>
    </comment>
    <comment ref="B16" authorId="0" shapeId="0" xr:uid="{00000000-0006-0000-0600-000009000000}">
      <text>
        <r>
          <rPr>
            <sz val="10"/>
            <rFont val="Arial"/>
            <family val="2"/>
          </rPr>
          <t>======
ID#AAACIY2wqRA
ESPE    (2026-10-01 14:49:28)
verificable</t>
        </r>
      </text>
    </comment>
  </commentList>
</comments>
</file>

<file path=xl/sharedStrings.xml><?xml version="1.0" encoding="utf-8"?>
<sst xmlns="http://schemas.openxmlformats.org/spreadsheetml/2006/main" count="790" uniqueCount="90">
  <si>
    <t>INTEGRANTES:</t>
  </si>
  <si>
    <t>Laínez Suárez Ricardo Andrés, Padilla Triviño Marco Adrian, Andino Martínez Nelson David</t>
  </si>
  <si>
    <t>MATRIZ PARA COMPROBACIÓN REQUERIMIENTOS DE CALIDAD DE PROYECTO ACADEMICO</t>
  </si>
  <si>
    <t>SISTEMA:</t>
  </si>
  <si>
    <t>SISTEMA DE GESTIÓN DE PEDIDOS DEL RESTAURANTE BOCATTO VALLEY</t>
  </si>
  <si>
    <t>Requerimientos  Funcionales</t>
  </si>
  <si>
    <t>Nº</t>
  </si>
  <si>
    <t>CRITERIOS DE CALIDAD (Documento/Requerimientos)</t>
  </si>
  <si>
    <t>Status
Nivel de Acuerdo</t>
  </si>
  <si>
    <t>CU 0-0 Autenticar en el sistema</t>
  </si>
  <si>
    <t>CU 0-1 Tomar pedido en mesa</t>
  </si>
  <si>
    <t>CU 0-2 Tomar pedido telefónico</t>
  </si>
  <si>
    <t>CU 0-3 Realizar pedido por QR</t>
  </si>
  <si>
    <t>CU 0-4 Gestionar preparación del pedido</t>
  </si>
  <si>
    <t>CU 0-5 Cobrar pedido en la caja</t>
  </si>
  <si>
    <t>CU 0-6 Consultar estado de pedido</t>
  </si>
  <si>
    <t>CU 0-7 Administrar configuración del sistema</t>
  </si>
  <si>
    <t>Agreed</t>
  </si>
  <si>
    <t>OK</t>
  </si>
  <si>
    <t>1. Videoconferencia de la entrevista
2. Minuta de la entrevista
3. Aceptación por videoconferencia</t>
  </si>
  <si>
    <t>Ranked</t>
  </si>
  <si>
    <t>1. En la descripción del caso de Uso se especifica la prioridad Alta</t>
  </si>
  <si>
    <t>Unambiguos</t>
  </si>
  <si>
    <t xml:space="preserve">1.  Redacción en lenguaje claro.                                                                               2. El tutor y el equipo interpretan de igual manera el caso de uso </t>
  </si>
  <si>
    <t>NOK</t>
  </si>
  <si>
    <t>Valid and up-to date</t>
  </si>
  <si>
    <t>1. No se han incorporado los últimos cambios pedidos luego del feedback realizado por el cliente</t>
  </si>
  <si>
    <t>Correct</t>
  </si>
  <si>
    <t>1. Está alineado con los objetivos del sistema.                                                                                                                                                                                                                        2. Refleja lo que realmente necesita el cliente.</t>
  </si>
  <si>
    <t>Consisten</t>
  </si>
  <si>
    <t xml:space="preserve">1. Documentación basada en modelos: Diagrama de Casos de Uso
2. Usa términos definidos previamente.                                             </t>
  </si>
  <si>
    <t>Verifiable</t>
  </si>
  <si>
    <t>1. Requisito Medible                                                           2.  Falta Casos de Prueba</t>
  </si>
  <si>
    <t>Realizable</t>
  </si>
  <si>
    <t>1. Funcionalidad tomada en cuenta dentro de la estimación del costo del proyecto (900$)
2. No se ha desarrollado</t>
  </si>
  <si>
    <t>Traceable</t>
  </si>
  <si>
    <t>1. Es claro el origen del requisito y sus relaciones con otros requisitos (matriz de trazabilidad cliente/casos de uso y casos de uso/casos de uso) 
2. Cuenta con un identificador único</t>
  </si>
  <si>
    <t>Complete</t>
  </si>
  <si>
    <t>1. Contiene toda la información necesaria (entradas, salidas, precondiciones, postcondiciones) para entender y diseñar la función. 
2. Describe completamente la funcionalidad esperada.</t>
  </si>
  <si>
    <t>Understandability</t>
  </si>
  <si>
    <t>1. Se involucra al cliente
2. Existe glosario de términos</t>
  </si>
  <si>
    <t>FECHA:</t>
  </si>
  <si>
    <t>AUTOR:</t>
  </si>
  <si>
    <t>Laínez Suárez Ricardo Andrés</t>
  </si>
  <si>
    <t>REQUERIMIENTOS EVALUADOS :</t>
  </si>
  <si>
    <t>CONTENIDO</t>
  </si>
  <si>
    <t>No.</t>
  </si>
  <si>
    <t>Pregunta</t>
  </si>
  <si>
    <t>SI</t>
  </si>
  <si>
    <t xml:space="preserve">NO </t>
  </si>
  <si>
    <t>Todos los requerimientos relevantes se han documentado?</t>
  </si>
  <si>
    <t>X</t>
  </si>
  <si>
    <t>Se han implementado las funciones requeridas?</t>
  </si>
  <si>
    <t xml:space="preserve"> Existe algún mecanismo que permita seguir el impacto de dicho requerimiento a lo largo del resto de las actividades del ciclo productivo.?</t>
  </si>
  <si>
    <t>El origen de cada requerimento individual está claro ?</t>
  </si>
  <si>
    <t>Que tan facil es devolverse a los requerimientos?</t>
  </si>
  <si>
    <t xml:space="preserve"> Los requerimientos reflejan las necesidades y deseos del cliente?</t>
  </si>
  <si>
    <t>No hay contradicciones entre los requerimientos?</t>
  </si>
  <si>
    <t>El requerimiento que se esta especificando contribuye a alcanzar un objetivo definido ?</t>
  </si>
  <si>
    <t>Existe un proceso acotado (en plazo y presupuesto) que permita determinar que el sistema construido satisface lo descrito en el propio requerimiento?</t>
  </si>
  <si>
    <t>SUMATORIA:</t>
  </si>
  <si>
    <t>PORCENTAJE :</t>
  </si>
  <si>
    <t>DOCUMENTACIÓN</t>
  </si>
  <si>
    <t>Aplica un estandar para la documetación de requerimiento?</t>
  </si>
  <si>
    <t>Cumple con la estructura definida por el estandar?</t>
  </si>
  <si>
    <t>Utiliza un Glosario de términos normalizado?</t>
  </si>
  <si>
    <t>Los requerimientos Funcionales estan sujetos a una única interpretación?</t>
  </si>
  <si>
    <t>El modelo aplicado cumple con la sintaxis?</t>
  </si>
  <si>
    <t>NIVEL DE ACUERDO</t>
  </si>
  <si>
    <t>Todos los requerimientos  han sido acordados con todos los interesados?</t>
  </si>
  <si>
    <t>Todos los requerimientos  modificados han sido acordados por todos los implicados?</t>
  </si>
  <si>
    <t>Han sido resueltos todos los conflictos conocidos respectos de los requerimientos?</t>
  </si>
  <si>
    <t>RESUMEN</t>
  </si>
  <si>
    <t xml:space="preserve">CONTENIDO </t>
  </si>
  <si>
    <t>Padilla Triviño Marco Adrian</t>
  </si>
  <si>
    <t>Andino Martínez Nelson David</t>
  </si>
  <si>
    <t>PREGUNTA</t>
  </si>
  <si>
    <t>RECOMENDACIÓN</t>
  </si>
  <si>
    <t>RESPONSABLE</t>
  </si>
  <si>
    <t>¿Existe un proceso acotado (en plazo y presupuesto) que permita determinar que el sistema construido satisface lo descrito en el propio requerimiento?</t>
  </si>
  <si>
    <t>Definir en el plan de pruebas casos para el RF-01: ingreso con credenciales válidas, rechazo de credenciales incorrectas y acceso limitado a las funciones del rol de cada usuario (mesero, operador, cocinero, cajero y administrador).</t>
  </si>
  <si>
    <t>Definir en el plan de pruebas casos para el RF-02: intento de registrar un pedido sin productos, registro en una mesa no válida y pedido confirmado con identificador único y estado "pendiente" visible en cocina.</t>
  </si>
  <si>
    <t>Definir en el plan de pruebas casos para el RF-03: pedido telefónico sin productos, pedido con datos de entrega o retiro completos y pedido registrado con estado "pendiente" visible en cocina.</t>
  </si>
  <si>
    <t>Definir en el plan de pruebas casos para el RF-04: QR no asociado a una mesa, intento de confirmar un pedido vacío y pedido confirmado con estado "pendiente" asociado a la mesa del QR.</t>
  </si>
  <si>
    <t>¿Los requerimientos funcionales están sujetos a una única interpretación?</t>
  </si>
  <si>
    <t>Tomar como referencia en el diseño de la pantalla de cocina la secuencia cerrada de estados del RF-05 (pendiente, en preparación, listo y listo para entregar), en lugar de la lista abierta con "por ejemplo" de la descripción del CU 0-4, y representarla en un diagrama de estados en PlantUML.</t>
  </si>
  <si>
    <t>Definir en el plan de pruebas casos para el RF-05 que confirmen que no se puede saltar un estado y que cada cambio queda visible para caja y para el cliente.</t>
  </si>
  <si>
    <t>Definir en el plan de pruebas casos para el RF-06: intento de cobrar un pedido que no está listo, cobro en efectivo, cobro digital y verificación de que el pedido queda marcado como "pagado".</t>
  </si>
  <si>
    <t>Definir en el plan de pruebas casos para el RF-07: consulta con un QR válido, consulta con un QR no asociado a una mesa y actualización del estado mostrado al cliente cuando cocina lo cambia.</t>
  </si>
  <si>
    <t>Definir en el plan de pruebas escenarios para el RF-08 que comprueben que los cambios de precios, menú, promociones y códigos QR realizados por el administrador se reflejan de inmediato en el menú del cliente.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</si>
</sst>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"/>
  </numFmts>
  <fonts count="16" x14ac:knownFonts="1">
    <font>
      <sz val="11"/>
      <color theme="1"/>
      <name val="Calibri"/>
      <charset val="1"/>
    </font>
    <font>
      <sz val="8"/>
      <color theme="1"/>
      <name val="Arial"/>
      <charset val="1"/>
    </font>
    <font>
      <b/>
      <sz val="18"/>
      <color theme="1"/>
      <name val="Calibri"/>
      <charset val="1"/>
    </font>
    <font>
      <b/>
      <sz val="18"/>
      <color rgb="FF1F497D"/>
      <name val="Calibri"/>
      <charset val="1"/>
    </font>
    <font>
      <b/>
      <sz val="18"/>
      <color theme="1"/>
      <name val="Arial"/>
      <charset val="1"/>
    </font>
    <font>
      <b/>
      <sz val="12"/>
      <color theme="1"/>
      <name val="Arial"/>
      <charset val="1"/>
    </font>
    <font>
      <b/>
      <sz val="11"/>
      <color theme="1"/>
      <name val="Arial"/>
      <charset val="1"/>
    </font>
    <font>
      <b/>
      <sz val="16"/>
      <color theme="0"/>
      <name val="Calibri"/>
      <charset val="1"/>
    </font>
    <font>
      <b/>
      <sz val="16"/>
      <color theme="1"/>
      <name val="Calibri"/>
      <charset val="1"/>
    </font>
    <font>
      <b/>
      <sz val="12"/>
      <color rgb="FFFFFFFF"/>
      <name val="Calibri"/>
      <charset val="1"/>
    </font>
    <font>
      <sz val="10"/>
      <name val="Arial"/>
      <family val="2"/>
    </font>
    <font>
      <b/>
      <sz val="14"/>
      <color theme="1"/>
      <name val="Calibri"/>
      <charset val="1"/>
    </font>
    <font>
      <sz val="14"/>
      <color theme="1"/>
      <name val="Calibri"/>
      <charset val="1"/>
    </font>
    <font>
      <b/>
      <sz val="18"/>
      <color rgb="FFFA7D00"/>
      <name val="Calibri"/>
      <charset val="1"/>
    </font>
    <font>
      <sz val="11"/>
      <color theme="1"/>
      <name val="Calibri"/>
      <family val="2"/>
      <charset val="1"/>
    </font>
    <font>
      <b/>
      <sz val="11"/>
      <color theme="0"/>
      <name val="Calibri"/>
      <charset val="1"/>
    </font>
  </fonts>
  <fills count="8">
    <fill>
      <patternFill patternType="none"/>
    </fill>
    <fill>
      <patternFill patternType="gray125"/>
    </fill>
    <fill>
      <patternFill patternType="solid">
        <fgColor rgb="FFD8D8D8"/>
        <bgColor rgb="FFD9D9D9"/>
      </patternFill>
    </fill>
    <fill>
      <patternFill patternType="solid">
        <fgColor theme="4"/>
        <bgColor rgb="FF757575"/>
      </patternFill>
    </fill>
    <fill>
      <patternFill patternType="solid">
        <fgColor rgb="FF92D050"/>
        <bgColor rgb="FF9BBB59"/>
      </patternFill>
    </fill>
    <fill>
      <patternFill patternType="solid">
        <fgColor rgb="FFFF0000"/>
        <bgColor rgb="FF9C0006"/>
      </patternFill>
    </fill>
    <fill>
      <patternFill patternType="solid">
        <fgColor rgb="FFB8CCE4"/>
        <bgColor rgb="FF99CCFF"/>
      </patternFill>
    </fill>
    <fill>
      <patternFill patternType="solid">
        <fgColor rgb="FFC2D69B"/>
        <bgColor rgb="FFD8D8D8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11" fillId="0" borderId="0" xfId="0" applyFont="1" applyAlignment="1">
      <alignment horizontal="center"/>
    </xf>
    <xf numFmtId="0" fontId="13" fillId="0" borderId="9" xfId="0" applyFont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12" fillId="0" borderId="0" xfId="0" applyFont="1" applyAlignment="1">
      <alignment horizontal="left" wrapText="1"/>
    </xf>
    <xf numFmtId="164" fontId="12" fillId="0" borderId="0" xfId="0" applyNumberFormat="1" applyFont="1" applyAlignment="1">
      <alignment horizontal="left" wrapText="1"/>
    </xf>
    <xf numFmtId="0" fontId="12" fillId="0" borderId="0" xfId="0" applyFont="1" applyAlignment="1">
      <alignment horizontal="left" vertical="top" wrapText="1"/>
    </xf>
    <xf numFmtId="0" fontId="7" fillId="3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0" fillId="0" borderId="1" xfId="0" applyBorder="1"/>
    <xf numFmtId="0" fontId="7" fillId="3" borderId="2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vertical="center" wrapText="1"/>
    </xf>
    <xf numFmtId="0" fontId="9" fillId="3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vertical="center" wrapText="1"/>
    </xf>
    <xf numFmtId="0" fontId="9" fillId="3" borderId="1" xfId="0" applyFont="1" applyFill="1" applyBorder="1" applyAlignment="1">
      <alignment vertical="top" wrapText="1"/>
    </xf>
    <xf numFmtId="0" fontId="0" fillId="0" borderId="0" xfId="0" applyAlignment="1">
      <alignment vertical="top"/>
    </xf>
    <xf numFmtId="0" fontId="11" fillId="0" borderId="0" xfId="0" applyFont="1" applyAlignment="1">
      <alignment horizontal="left" vertical="top"/>
    </xf>
    <xf numFmtId="0" fontId="11" fillId="0" borderId="0" xfId="0" applyFont="1" applyAlignment="1">
      <alignment horizontal="left"/>
    </xf>
    <xf numFmtId="0" fontId="12" fillId="6" borderId="3" xfId="0" applyFont="1" applyFill="1" applyBorder="1" applyAlignment="1">
      <alignment horizontal="center" vertical="center"/>
    </xf>
    <xf numFmtId="0" fontId="12" fillId="6" borderId="5" xfId="0" applyFont="1" applyFill="1" applyBorder="1" applyAlignment="1">
      <alignment horizontal="center" vertical="center"/>
    </xf>
    <xf numFmtId="0" fontId="12" fillId="6" borderId="6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vertical="center" wrapText="1"/>
    </xf>
    <xf numFmtId="0" fontId="0" fillId="0" borderId="8" xfId="0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9" fontId="0" fillId="0" borderId="0" xfId="0" applyNumberFormat="1"/>
    <xf numFmtId="0" fontId="11" fillId="0" borderId="3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4" fillId="0" borderId="0" xfId="0" applyFont="1"/>
    <xf numFmtId="0" fontId="15" fillId="7" borderId="1" xfId="0" applyFont="1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12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b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b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b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b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b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b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b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b/>
      </font>
      <fill>
        <patternFill>
          <bgColor rgb="FFFF0000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font>
        <b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b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b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b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FF0000"/>
      </font>
    </dxf>
    <dxf>
      <font>
        <b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b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</font>
      <fill>
        <patternFill>
          <bgColor rgb="FFFF0000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b/>
      </font>
      <fill>
        <patternFill>
          <bgColor rgb="FFFF0000"/>
        </patternFill>
      </fill>
    </dxf>
    <dxf>
      <font>
        <color rgb="FFFF0000"/>
      </font>
    </dxf>
    <dxf>
      <font>
        <b/>
      </font>
      <fill>
        <patternFill>
          <bgColor rgb="FFFF0000"/>
        </patternFill>
      </fill>
    </dxf>
    <dxf>
      <font>
        <color rgb="FFFF0000"/>
      </font>
    </dxf>
    <dxf>
      <font>
        <b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</font>
      <fill>
        <patternFill>
          <bgColor rgb="FFFF0000"/>
        </patternFill>
      </fill>
    </dxf>
    <dxf>
      <font>
        <color rgb="FFFF0000"/>
      </font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b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b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2D69B"/>
      <rgbColor rgb="FF757575"/>
      <rgbColor rgb="FF9999FF"/>
      <rgbColor rgb="FFC0504D"/>
      <rgbColor rgb="FFFFFFCC"/>
      <rgbColor rgb="FFD9D9D9"/>
      <rgbColor rgb="FF660066"/>
      <rgbColor rgb="FFFF8080"/>
      <rgbColor rgb="FF0066CC"/>
      <rgbColor rgb="FFB8C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8D8D8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2D050"/>
      <rgbColor rgb="FFFFCC00"/>
      <rgbColor rgb="FFFF9900"/>
      <rgbColor rgb="FFFA7D00"/>
      <rgbColor rgb="FF4F81BD"/>
      <rgbColor rgb="FF9BBB59"/>
      <rgbColor rgb="FF003366"/>
      <rgbColor rgb="FF339966"/>
      <rgbColor rgb="FF003300"/>
      <rgbColor rgb="FF333300"/>
      <rgbColor rgb="FF993300"/>
      <rgbColor rgb="FF993366"/>
      <rgbColor rgb="FF1F497D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s-EC" sz="1300" b="0" u="none" strike="noStrike">
                <a:solidFill>
                  <a:srgbClr val="757575"/>
                </a:solidFill>
                <a:uFillTx/>
                <a:latin typeface="Arial"/>
                <a:ea typeface="Calibri"/>
              </a:rPr>
              <a:t>CRITERIO DE CALIDAD </a:t>
            </a:r>
          </a:p>
        </c:rich>
      </c:tx>
      <c:layout>
        <c:manualLayout>
          <c:xMode val="edge"/>
          <c:yMode val="edge"/>
          <c:x val="0.30962576801340502"/>
          <c:y val="6.1007957559681698E-2"/>
        </c:manualLayout>
      </c:layout>
      <c:overlay val="0"/>
      <c:spPr>
        <a:noFill/>
        <a:ln w="0">
          <a:noFill/>
        </a:ln>
      </c:spPr>
    </c:title>
    <c:autoTitleDeleted val="0"/>
    <c:view3D>
      <c:rotX val="50"/>
      <c:rotY val="0"/>
      <c:rAngAx val="0"/>
    </c:view3D>
    <c:floor>
      <c:thickness val="0"/>
      <c:spPr>
        <a:solidFill>
          <a:srgbClr val="D9D9D9"/>
        </a:solidFill>
        <a:ln w="0">
          <a:noFill/>
        </a:ln>
      </c:spPr>
    </c:floor>
    <c:sideWall>
      <c:thickness val="0"/>
      <c:spPr>
        <a:solidFill>
          <a:srgbClr val="D9D9D9"/>
        </a:solidFill>
        <a:ln w="0">
          <a:noFill/>
        </a:ln>
      </c:spPr>
    </c:sideWall>
    <c:backWall>
      <c:thickness val="0"/>
      <c:spPr>
        <a:solidFill>
          <a:srgbClr val="D9D9D9"/>
        </a:solidFill>
        <a:ln w="0">
          <a:noFill/>
        </a:ln>
      </c:spPr>
    </c:backWall>
    <c:plotArea>
      <c:layout/>
      <c:pie3D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FEFB-43ED-8370-C5067B51E507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FEFB-43ED-8370-C5067B51E507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FEFB-43ED-8370-C5067B51E507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  <a:endParaRPr lang="es-EC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FEFB-43ED-8370-C5067B51E507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  <a:endParaRPr lang="es-EC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FEFB-43ED-8370-C5067B51E507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  <a:endParaRPr lang="es-EC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FEFB-43ED-8370-C5067B51E5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  <a:endParaRPr lang="es-EC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1"/>
            <c:separator>
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'LISTA DE COMPROBACION - CU0-0'!$B$41:$B$43</c:f>
              <c:strCache>
                <c:ptCount val="3"/>
                <c:pt idx="0">
                  <c:v>CONTENIDO </c:v>
                </c:pt>
                <c:pt idx="1">
                  <c:v>DOCUMENTACIÓN</c:v>
                </c:pt>
                <c:pt idx="2">
                  <c:v>NIVEL DE ACUERDO</c:v>
                </c:pt>
              </c:strCache>
            </c:strRef>
          </c:cat>
          <c:val>
            <c:numRef>
              <c:f>'LISTA DE COMPROBACION - CU0-0'!$C$41:$C$43</c:f>
              <c:numCache>
                <c:formatCode>General</c:formatCode>
                <c:ptCount val="3"/>
                <c:pt idx="0">
                  <c:v>89</c:v>
                </c:pt>
                <c:pt idx="1">
                  <c:v>100</c:v>
                </c:pt>
                <c:pt idx="2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EFB-43ED-8370-C5067B51E5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1A1A1A"/>
              </a:solidFill>
              <a:uFillTx/>
              <a:latin typeface="Calibri"/>
              <a:ea typeface="Calibri"/>
            </a:defRPr>
          </a:pPr>
          <a:endParaRPr lang="es-EC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s-EC" sz="1300" b="0" u="none" strike="noStrike">
                <a:solidFill>
                  <a:srgbClr val="757575"/>
                </a:solidFill>
                <a:uFillTx/>
                <a:latin typeface="Arial"/>
                <a:ea typeface="Calibri"/>
              </a:rPr>
              <a:t>CRITERIO DE CALIDAD </a:t>
            </a:r>
          </a:p>
        </c:rich>
      </c:tx>
      <c:layout>
        <c:manualLayout>
          <c:xMode val="edge"/>
          <c:yMode val="edge"/>
          <c:x val="0.30962576801340502"/>
          <c:y val="6.1007957559681698E-2"/>
        </c:manualLayout>
      </c:layout>
      <c:overlay val="0"/>
      <c:spPr>
        <a:noFill/>
        <a:ln w="0">
          <a:noFill/>
        </a:ln>
      </c:spPr>
    </c:title>
    <c:autoTitleDeleted val="0"/>
    <c:view3D>
      <c:rotX val="50"/>
      <c:rotY val="0"/>
      <c:rAngAx val="0"/>
    </c:view3D>
    <c:floor>
      <c:thickness val="0"/>
      <c:spPr>
        <a:solidFill>
          <a:srgbClr val="D9D9D9"/>
        </a:solidFill>
        <a:ln w="0">
          <a:noFill/>
        </a:ln>
      </c:spPr>
    </c:floor>
    <c:sideWall>
      <c:thickness val="0"/>
      <c:spPr>
        <a:solidFill>
          <a:srgbClr val="D9D9D9"/>
        </a:solidFill>
        <a:ln w="0">
          <a:noFill/>
        </a:ln>
      </c:spPr>
    </c:sideWall>
    <c:backWall>
      <c:thickness val="0"/>
      <c:spPr>
        <a:solidFill>
          <a:srgbClr val="D9D9D9"/>
        </a:solidFill>
        <a:ln w="0">
          <a:noFill/>
        </a:ln>
      </c:spPr>
    </c:backWall>
    <c:plotArea>
      <c:layout/>
      <c:pie3D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2571-4A52-B408-0CE83E9A1842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2571-4A52-B408-0CE83E9A1842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2571-4A52-B408-0CE83E9A1842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  <a:endParaRPr lang="es-EC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2571-4A52-B408-0CE83E9A1842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  <a:endParaRPr lang="es-EC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2571-4A52-B408-0CE83E9A1842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  <a:endParaRPr lang="es-EC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2571-4A52-B408-0CE83E9A184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  <a:endParaRPr lang="es-EC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1"/>
            <c:separator>
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'LISTA DE COMPROBACION - CU0-1'!$B$41:$B$43</c:f>
              <c:strCache>
                <c:ptCount val="3"/>
                <c:pt idx="0">
                  <c:v>CONTENIDO </c:v>
                </c:pt>
                <c:pt idx="1">
                  <c:v>DOCUMENTACIÓN</c:v>
                </c:pt>
                <c:pt idx="2">
                  <c:v>NIVEL DE ACUERDO</c:v>
                </c:pt>
              </c:strCache>
            </c:strRef>
          </c:cat>
          <c:val>
            <c:numRef>
              <c:f>'LISTA DE COMPROBACION - CU0-1'!$C$41:$C$43</c:f>
              <c:numCache>
                <c:formatCode>General</c:formatCode>
                <c:ptCount val="3"/>
                <c:pt idx="0">
                  <c:v>89</c:v>
                </c:pt>
                <c:pt idx="1">
                  <c:v>100</c:v>
                </c:pt>
                <c:pt idx="2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571-4A52-B408-0CE83E9A18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1A1A1A"/>
              </a:solidFill>
              <a:uFillTx/>
              <a:latin typeface="Calibri"/>
              <a:ea typeface="Calibri"/>
            </a:defRPr>
          </a:pPr>
          <a:endParaRPr lang="es-EC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s-EC" sz="1300" b="0" u="none" strike="noStrike">
                <a:solidFill>
                  <a:srgbClr val="757575"/>
                </a:solidFill>
                <a:uFillTx/>
                <a:latin typeface="Arial"/>
                <a:ea typeface="Calibri"/>
              </a:rPr>
              <a:t>CRITERIO DE CALIDAD </a:t>
            </a:r>
          </a:p>
        </c:rich>
      </c:tx>
      <c:layout>
        <c:manualLayout>
          <c:xMode val="edge"/>
          <c:yMode val="edge"/>
          <c:x val="0.309668948701116"/>
          <c:y val="6.0677966101694902E-2"/>
        </c:manualLayout>
      </c:layout>
      <c:overlay val="0"/>
      <c:spPr>
        <a:noFill/>
        <a:ln w="0">
          <a:noFill/>
        </a:ln>
      </c:spPr>
    </c:title>
    <c:autoTitleDeleted val="0"/>
    <c:view3D>
      <c:rotX val="50"/>
      <c:rotY val="0"/>
      <c:rAngAx val="0"/>
    </c:view3D>
    <c:floor>
      <c:thickness val="0"/>
      <c:spPr>
        <a:solidFill>
          <a:srgbClr val="D9D9D9"/>
        </a:solidFill>
        <a:ln w="0">
          <a:noFill/>
        </a:ln>
      </c:spPr>
    </c:floor>
    <c:sideWall>
      <c:thickness val="0"/>
      <c:spPr>
        <a:solidFill>
          <a:srgbClr val="D9D9D9"/>
        </a:solidFill>
        <a:ln w="0">
          <a:noFill/>
        </a:ln>
      </c:spPr>
    </c:sideWall>
    <c:backWall>
      <c:thickness val="0"/>
      <c:spPr>
        <a:solidFill>
          <a:srgbClr val="D9D9D9"/>
        </a:solidFill>
        <a:ln w="0">
          <a:noFill/>
        </a:ln>
      </c:spPr>
    </c:backWall>
    <c:plotArea>
      <c:layout/>
      <c:pie3D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958F-4E14-BC1D-0DD278A87611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958F-4E14-BC1D-0DD278A87611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958F-4E14-BC1D-0DD278A87611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  <a:endParaRPr lang="es-EC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958F-4E14-BC1D-0DD278A87611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  <a:endParaRPr lang="es-EC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958F-4E14-BC1D-0DD278A87611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  <a:endParaRPr lang="es-EC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958F-4E14-BC1D-0DD278A8761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  <a:endParaRPr lang="es-EC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1"/>
            <c:separator>
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'LISTA DE COMPROBACION - CU0-2'!$B$41:$B$43</c:f>
              <c:strCache>
                <c:ptCount val="3"/>
                <c:pt idx="0">
                  <c:v>CONTENIDO </c:v>
                </c:pt>
                <c:pt idx="1">
                  <c:v>DOCUMENTACIÓN</c:v>
                </c:pt>
                <c:pt idx="2">
                  <c:v>NIVEL DE ACUERDO</c:v>
                </c:pt>
              </c:strCache>
            </c:strRef>
          </c:cat>
          <c:val>
            <c:numRef>
              <c:f>'LISTA DE COMPROBACION - CU0-2'!$C$41:$C$43</c:f>
              <c:numCache>
                <c:formatCode>General</c:formatCode>
                <c:ptCount val="3"/>
                <c:pt idx="0">
                  <c:v>89</c:v>
                </c:pt>
                <c:pt idx="1">
                  <c:v>100</c:v>
                </c:pt>
                <c:pt idx="2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58F-4E14-BC1D-0DD278A876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1A1A1A"/>
              </a:solidFill>
              <a:uFillTx/>
              <a:latin typeface="Calibri"/>
              <a:ea typeface="Calibri"/>
            </a:defRPr>
          </a:pPr>
          <a:endParaRPr lang="es-EC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s-EC" sz="1300" b="0" u="none" strike="noStrike">
                <a:solidFill>
                  <a:srgbClr val="757575"/>
                </a:solidFill>
                <a:uFillTx/>
                <a:latin typeface="Arial"/>
                <a:ea typeface="Calibri"/>
              </a:rPr>
              <a:t>CRITERIO DE CALIDAD </a:t>
            </a:r>
          </a:p>
        </c:rich>
      </c:tx>
      <c:layout>
        <c:manualLayout>
          <c:xMode val="edge"/>
          <c:yMode val="edge"/>
          <c:x val="0.309668948701116"/>
          <c:y val="6.0508474576271197E-2"/>
        </c:manualLayout>
      </c:layout>
      <c:overlay val="0"/>
      <c:spPr>
        <a:noFill/>
        <a:ln w="0">
          <a:noFill/>
        </a:ln>
      </c:spPr>
    </c:title>
    <c:autoTitleDeleted val="0"/>
    <c:view3D>
      <c:rotX val="50"/>
      <c:rotY val="0"/>
      <c:rAngAx val="0"/>
    </c:view3D>
    <c:floor>
      <c:thickness val="0"/>
      <c:spPr>
        <a:solidFill>
          <a:srgbClr val="D9D9D9"/>
        </a:solidFill>
        <a:ln w="0">
          <a:noFill/>
        </a:ln>
      </c:spPr>
    </c:floor>
    <c:sideWall>
      <c:thickness val="0"/>
      <c:spPr>
        <a:solidFill>
          <a:srgbClr val="D9D9D9"/>
        </a:solidFill>
        <a:ln w="0">
          <a:noFill/>
        </a:ln>
      </c:spPr>
    </c:sideWall>
    <c:backWall>
      <c:thickness val="0"/>
      <c:spPr>
        <a:solidFill>
          <a:srgbClr val="D9D9D9"/>
        </a:solidFill>
        <a:ln w="0">
          <a:noFill/>
        </a:ln>
      </c:spPr>
    </c:backWall>
    <c:plotArea>
      <c:layout/>
      <c:pie3D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2C33-48C1-9364-52511F79B7C1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2C33-48C1-9364-52511F79B7C1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2C33-48C1-9364-52511F79B7C1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  <a:endParaRPr lang="es-EC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2C33-48C1-9364-52511F79B7C1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  <a:endParaRPr lang="es-EC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2C33-48C1-9364-52511F79B7C1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  <a:endParaRPr lang="es-EC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2C33-48C1-9364-52511F79B7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  <a:endParaRPr lang="es-EC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1"/>
            <c:separator>
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'LISTA DE COMPROBACION - CU0-3'!$B$41:$B$43</c:f>
              <c:strCache>
                <c:ptCount val="3"/>
                <c:pt idx="0">
                  <c:v>CONTENIDO </c:v>
                </c:pt>
                <c:pt idx="1">
                  <c:v>DOCUMENTACIÓN</c:v>
                </c:pt>
                <c:pt idx="2">
                  <c:v>NIVEL DE ACUERDO</c:v>
                </c:pt>
              </c:strCache>
            </c:strRef>
          </c:cat>
          <c:val>
            <c:numRef>
              <c:f>'LISTA DE COMPROBACION - CU0-3'!$C$41:$C$43</c:f>
              <c:numCache>
                <c:formatCode>General</c:formatCode>
                <c:ptCount val="3"/>
                <c:pt idx="0">
                  <c:v>89</c:v>
                </c:pt>
                <c:pt idx="1">
                  <c:v>100</c:v>
                </c:pt>
                <c:pt idx="2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C33-48C1-9364-52511F79B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1A1A1A"/>
              </a:solidFill>
              <a:uFillTx/>
              <a:latin typeface="Calibri"/>
              <a:ea typeface="Calibri"/>
            </a:defRPr>
          </a:pPr>
          <a:endParaRPr lang="es-EC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s-EC" sz="1300" b="0" u="none" strike="noStrike">
                <a:solidFill>
                  <a:srgbClr val="757575"/>
                </a:solidFill>
                <a:uFillTx/>
                <a:latin typeface="Arial"/>
                <a:ea typeface="Calibri"/>
              </a:rPr>
              <a:t>CRITERIO DE CALIDAD </a:t>
            </a:r>
          </a:p>
        </c:rich>
      </c:tx>
      <c:layout>
        <c:manualLayout>
          <c:xMode val="edge"/>
          <c:yMode val="edge"/>
          <c:x val="0.309668948701116"/>
          <c:y val="6.0508474576271197E-2"/>
        </c:manualLayout>
      </c:layout>
      <c:overlay val="0"/>
      <c:spPr>
        <a:noFill/>
        <a:ln w="0">
          <a:noFill/>
        </a:ln>
      </c:spPr>
    </c:title>
    <c:autoTitleDeleted val="0"/>
    <c:view3D>
      <c:rotX val="50"/>
      <c:rotY val="0"/>
      <c:rAngAx val="0"/>
    </c:view3D>
    <c:floor>
      <c:thickness val="0"/>
      <c:spPr>
        <a:solidFill>
          <a:srgbClr val="D9D9D9"/>
        </a:solidFill>
        <a:ln w="0">
          <a:noFill/>
        </a:ln>
      </c:spPr>
    </c:floor>
    <c:sideWall>
      <c:thickness val="0"/>
      <c:spPr>
        <a:solidFill>
          <a:srgbClr val="D9D9D9"/>
        </a:solidFill>
        <a:ln w="0">
          <a:noFill/>
        </a:ln>
      </c:spPr>
    </c:sideWall>
    <c:backWall>
      <c:thickness val="0"/>
      <c:spPr>
        <a:solidFill>
          <a:srgbClr val="D9D9D9"/>
        </a:solidFill>
        <a:ln w="0">
          <a:noFill/>
        </a:ln>
      </c:spPr>
    </c:backWall>
    <c:plotArea>
      <c:layout/>
      <c:pie3D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2CAC-43B4-AF67-7D922DB16921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2CAC-43B4-AF67-7D922DB16921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2CAC-43B4-AF67-7D922DB16921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  <a:endParaRPr lang="es-EC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2CAC-43B4-AF67-7D922DB16921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  <a:endParaRPr lang="es-EC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2CAC-43B4-AF67-7D922DB16921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  <a:endParaRPr lang="es-EC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2CAC-43B4-AF67-7D922DB1692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  <a:endParaRPr lang="es-EC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1"/>
            <c:separator>
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'LISTA DE COMPROBACION - CU0-4'!$B$41:$B$43</c:f>
              <c:strCache>
                <c:ptCount val="3"/>
                <c:pt idx="0">
                  <c:v>CONTENIDO </c:v>
                </c:pt>
                <c:pt idx="1">
                  <c:v>DOCUMENTACIÓN</c:v>
                </c:pt>
                <c:pt idx="2">
                  <c:v>NIVEL DE ACUERDO</c:v>
                </c:pt>
              </c:strCache>
            </c:strRef>
          </c:cat>
          <c:val>
            <c:numRef>
              <c:f>'LISTA DE COMPROBACION - CU0-4'!$C$41:$C$43</c:f>
              <c:numCache>
                <c:formatCode>General</c:formatCode>
                <c:ptCount val="3"/>
                <c:pt idx="0">
                  <c:v>89</c:v>
                </c:pt>
                <c:pt idx="1">
                  <c:v>80</c:v>
                </c:pt>
                <c:pt idx="2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CAC-43B4-AF67-7D922DB169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1A1A1A"/>
              </a:solidFill>
              <a:uFillTx/>
              <a:latin typeface="Calibri"/>
              <a:ea typeface="Calibri"/>
            </a:defRPr>
          </a:pPr>
          <a:endParaRPr lang="es-EC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s-EC" sz="1300" b="0" u="none" strike="noStrike">
                <a:solidFill>
                  <a:srgbClr val="757575"/>
                </a:solidFill>
                <a:uFillTx/>
                <a:latin typeface="Arial"/>
                <a:ea typeface="Calibri"/>
              </a:rPr>
              <a:t>CRITERIO DE CALIDAD </a:t>
            </a:r>
          </a:p>
        </c:rich>
      </c:tx>
      <c:layout>
        <c:manualLayout>
          <c:xMode val="edge"/>
          <c:yMode val="edge"/>
          <c:x val="0.309668948701116"/>
          <c:y val="6.0677966101694902E-2"/>
        </c:manualLayout>
      </c:layout>
      <c:overlay val="0"/>
      <c:spPr>
        <a:noFill/>
        <a:ln w="0">
          <a:noFill/>
        </a:ln>
      </c:spPr>
    </c:title>
    <c:autoTitleDeleted val="0"/>
    <c:view3D>
      <c:rotX val="50"/>
      <c:rotY val="0"/>
      <c:rAngAx val="0"/>
    </c:view3D>
    <c:floor>
      <c:thickness val="0"/>
      <c:spPr>
        <a:solidFill>
          <a:srgbClr val="D9D9D9"/>
        </a:solidFill>
        <a:ln w="0">
          <a:noFill/>
        </a:ln>
      </c:spPr>
    </c:floor>
    <c:sideWall>
      <c:thickness val="0"/>
      <c:spPr>
        <a:solidFill>
          <a:srgbClr val="D9D9D9"/>
        </a:solidFill>
        <a:ln w="0">
          <a:noFill/>
        </a:ln>
      </c:spPr>
    </c:sideWall>
    <c:backWall>
      <c:thickness val="0"/>
      <c:spPr>
        <a:solidFill>
          <a:srgbClr val="D9D9D9"/>
        </a:solidFill>
        <a:ln w="0">
          <a:noFill/>
        </a:ln>
      </c:spPr>
    </c:backWall>
    <c:plotArea>
      <c:layout/>
      <c:pie3D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C8A8-4B47-855A-1B079418A499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C8A8-4B47-855A-1B079418A499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C8A8-4B47-855A-1B079418A499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  <a:endParaRPr lang="es-EC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C8A8-4B47-855A-1B079418A499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  <a:endParaRPr lang="es-EC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C8A8-4B47-855A-1B079418A499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  <a:endParaRPr lang="es-EC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C8A8-4B47-855A-1B079418A49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  <a:endParaRPr lang="es-EC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1"/>
            <c:separator>
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'LISTA DE COMPROBACION - CU0-5'!$B$41:$B$43</c:f>
              <c:strCache>
                <c:ptCount val="3"/>
                <c:pt idx="0">
                  <c:v>CONTENIDO </c:v>
                </c:pt>
                <c:pt idx="1">
                  <c:v>DOCUMENTACIÓN</c:v>
                </c:pt>
                <c:pt idx="2">
                  <c:v>NIVEL DE ACUERDO</c:v>
                </c:pt>
              </c:strCache>
            </c:strRef>
          </c:cat>
          <c:val>
            <c:numRef>
              <c:f>'LISTA DE COMPROBACION - CU0-5'!$C$41:$C$43</c:f>
              <c:numCache>
                <c:formatCode>General</c:formatCode>
                <c:ptCount val="3"/>
                <c:pt idx="0">
                  <c:v>89</c:v>
                </c:pt>
                <c:pt idx="1">
                  <c:v>100</c:v>
                </c:pt>
                <c:pt idx="2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8A8-4B47-855A-1B079418A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1A1A1A"/>
              </a:solidFill>
              <a:uFillTx/>
              <a:latin typeface="Calibri"/>
              <a:ea typeface="Calibri"/>
            </a:defRPr>
          </a:pPr>
          <a:endParaRPr lang="es-EC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s-EC" sz="1300" b="0" u="none" strike="noStrike">
                <a:solidFill>
                  <a:srgbClr val="757575"/>
                </a:solidFill>
                <a:uFillTx/>
                <a:latin typeface="Arial"/>
                <a:ea typeface="Calibri"/>
              </a:rPr>
              <a:t>CRITERIO DE CALIDAD </a:t>
            </a:r>
          </a:p>
        </c:rich>
      </c:tx>
      <c:layout>
        <c:manualLayout>
          <c:xMode val="edge"/>
          <c:yMode val="edge"/>
          <c:x val="0.309668948701116"/>
          <c:y val="6.0508474576271197E-2"/>
        </c:manualLayout>
      </c:layout>
      <c:overlay val="0"/>
      <c:spPr>
        <a:noFill/>
        <a:ln w="0">
          <a:noFill/>
        </a:ln>
      </c:spPr>
    </c:title>
    <c:autoTitleDeleted val="0"/>
    <c:view3D>
      <c:rotX val="50"/>
      <c:rotY val="0"/>
      <c:rAngAx val="0"/>
    </c:view3D>
    <c:floor>
      <c:thickness val="0"/>
      <c:spPr>
        <a:solidFill>
          <a:srgbClr val="D9D9D9"/>
        </a:solidFill>
        <a:ln w="0">
          <a:noFill/>
        </a:ln>
      </c:spPr>
    </c:floor>
    <c:sideWall>
      <c:thickness val="0"/>
      <c:spPr>
        <a:solidFill>
          <a:srgbClr val="D9D9D9"/>
        </a:solidFill>
        <a:ln w="0">
          <a:noFill/>
        </a:ln>
      </c:spPr>
    </c:sideWall>
    <c:backWall>
      <c:thickness val="0"/>
      <c:spPr>
        <a:solidFill>
          <a:srgbClr val="D9D9D9"/>
        </a:solidFill>
        <a:ln w="0">
          <a:noFill/>
        </a:ln>
      </c:spPr>
    </c:backWall>
    <c:plotArea>
      <c:layout/>
      <c:pie3D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4F7F-4123-8CAC-CB038D9CED3E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4F7F-4123-8CAC-CB038D9CED3E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4F7F-4123-8CAC-CB038D9CED3E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  <a:endParaRPr lang="es-EC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4F7F-4123-8CAC-CB038D9CED3E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  <a:endParaRPr lang="es-EC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4F7F-4123-8CAC-CB038D9CED3E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  <a:endParaRPr lang="es-EC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4F7F-4123-8CAC-CB038D9CED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  <a:endParaRPr lang="es-EC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1"/>
            <c:separator>
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'LISTA DE COMPROBACION - CU0-6'!$B$41:$B$43</c:f>
              <c:strCache>
                <c:ptCount val="3"/>
                <c:pt idx="0">
                  <c:v>CONTENIDO </c:v>
                </c:pt>
                <c:pt idx="1">
                  <c:v>DOCUMENTACIÓN</c:v>
                </c:pt>
                <c:pt idx="2">
                  <c:v>NIVEL DE ACUERDO</c:v>
                </c:pt>
              </c:strCache>
            </c:strRef>
          </c:cat>
          <c:val>
            <c:numRef>
              <c:f>'LISTA DE COMPROBACION - CU0-6'!$C$41:$C$43</c:f>
              <c:numCache>
                <c:formatCode>General</c:formatCode>
                <c:ptCount val="3"/>
                <c:pt idx="0">
                  <c:v>89</c:v>
                </c:pt>
                <c:pt idx="1">
                  <c:v>100</c:v>
                </c:pt>
                <c:pt idx="2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F7F-4123-8CAC-CB038D9CED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1A1A1A"/>
              </a:solidFill>
              <a:uFillTx/>
              <a:latin typeface="Calibri"/>
              <a:ea typeface="Calibri"/>
            </a:defRPr>
          </a:pPr>
          <a:endParaRPr lang="es-EC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s-EC" sz="1300" b="0" u="none" strike="noStrike">
                <a:solidFill>
                  <a:srgbClr val="757575"/>
                </a:solidFill>
                <a:uFillTx/>
                <a:latin typeface="Arial"/>
                <a:ea typeface="Calibri"/>
              </a:rPr>
              <a:t>CRITERIO DE CALIDAD </a:t>
            </a:r>
          </a:p>
        </c:rich>
      </c:tx>
      <c:layout>
        <c:manualLayout>
          <c:xMode val="edge"/>
          <c:yMode val="edge"/>
          <c:x val="0.309668948701116"/>
          <c:y val="6.0508474576271197E-2"/>
        </c:manualLayout>
      </c:layout>
      <c:overlay val="0"/>
      <c:spPr>
        <a:noFill/>
        <a:ln w="0">
          <a:noFill/>
        </a:ln>
      </c:spPr>
    </c:title>
    <c:autoTitleDeleted val="0"/>
    <c:view3D>
      <c:rotX val="50"/>
      <c:rotY val="0"/>
      <c:rAngAx val="0"/>
    </c:view3D>
    <c:floor>
      <c:thickness val="0"/>
      <c:spPr>
        <a:solidFill>
          <a:srgbClr val="D9D9D9"/>
        </a:solidFill>
        <a:ln w="0">
          <a:noFill/>
        </a:ln>
      </c:spPr>
    </c:floor>
    <c:sideWall>
      <c:thickness val="0"/>
      <c:spPr>
        <a:solidFill>
          <a:srgbClr val="D9D9D9"/>
        </a:solidFill>
        <a:ln w="0">
          <a:noFill/>
        </a:ln>
      </c:spPr>
    </c:sideWall>
    <c:backWall>
      <c:thickness val="0"/>
      <c:spPr>
        <a:solidFill>
          <a:srgbClr val="D9D9D9"/>
        </a:solidFill>
        <a:ln w="0">
          <a:noFill/>
        </a:ln>
      </c:spPr>
    </c:backWall>
    <c:plotArea>
      <c:layout/>
      <c:pie3D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B241-43ED-973E-D7FA75105F44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B241-43ED-973E-D7FA75105F44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B241-43ED-973E-D7FA75105F44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  <a:endParaRPr lang="es-EC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B241-43ED-973E-D7FA75105F44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  <a:endParaRPr lang="es-EC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B241-43ED-973E-D7FA75105F44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  <a:endParaRPr lang="es-EC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B241-43ED-973E-D7FA75105F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  <a:endParaRPr lang="es-EC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1"/>
            <c:separator>
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'LISTA DE COMPROBACION - CU0-7'!$B$41:$B$43</c:f>
              <c:strCache>
                <c:ptCount val="3"/>
                <c:pt idx="0">
                  <c:v>CONTENIDO </c:v>
                </c:pt>
                <c:pt idx="1">
                  <c:v>DOCUMENTACIÓN</c:v>
                </c:pt>
                <c:pt idx="2">
                  <c:v>NIVEL DE ACUERDO</c:v>
                </c:pt>
              </c:strCache>
            </c:strRef>
          </c:cat>
          <c:val>
            <c:numRef>
              <c:f>'LISTA DE COMPROBACION - CU0-7'!$C$41:$C$43</c:f>
              <c:numCache>
                <c:formatCode>General</c:formatCode>
                <c:ptCount val="3"/>
                <c:pt idx="0">
                  <c:v>89</c:v>
                </c:pt>
                <c:pt idx="1">
                  <c:v>100</c:v>
                </c:pt>
                <c:pt idx="2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241-43ED-973E-D7FA75105F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1A1A1A"/>
              </a:solidFill>
              <a:uFillTx/>
              <a:latin typeface="Calibri"/>
              <a:ea typeface="Calibri"/>
            </a:defRPr>
          </a:pPr>
          <a:endParaRPr lang="es-EC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38160</xdr:colOff>
      <xdr:row>6</xdr:row>
      <xdr:rowOff>0</xdr:rowOff>
    </xdr:from>
    <xdr:to>
      <xdr:col>11</xdr:col>
      <xdr:colOff>117360</xdr:colOff>
      <xdr:row>11</xdr:row>
      <xdr:rowOff>180720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38160</xdr:colOff>
      <xdr:row>6</xdr:row>
      <xdr:rowOff>0</xdr:rowOff>
    </xdr:from>
    <xdr:to>
      <xdr:col>11</xdr:col>
      <xdr:colOff>117360</xdr:colOff>
      <xdr:row>11</xdr:row>
      <xdr:rowOff>180720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247680</xdr:colOff>
      <xdr:row>33</xdr:row>
      <xdr:rowOff>162000</xdr:rowOff>
    </xdr:from>
    <xdr:to>
      <xdr:col>10</xdr:col>
      <xdr:colOff>298440</xdr:colOff>
      <xdr:row>42</xdr:row>
      <xdr:rowOff>257040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247680</xdr:colOff>
      <xdr:row>33</xdr:row>
      <xdr:rowOff>162000</xdr:rowOff>
    </xdr:from>
    <xdr:to>
      <xdr:col>10</xdr:col>
      <xdr:colOff>298440</xdr:colOff>
      <xdr:row>42</xdr:row>
      <xdr:rowOff>257040</xdr:rowOff>
    </xdr:to>
    <xdr:graphicFrame macro="">
      <xdr:nvGraphicFramePr>
        <xdr:cNvPr id="4" name="Chart 4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247680</xdr:colOff>
      <xdr:row>33</xdr:row>
      <xdr:rowOff>162000</xdr:rowOff>
    </xdr:from>
    <xdr:to>
      <xdr:col>10</xdr:col>
      <xdr:colOff>298080</xdr:colOff>
      <xdr:row>42</xdr:row>
      <xdr:rowOff>256680</xdr:rowOff>
    </xdr:to>
    <xdr:graphicFrame macro="">
      <xdr:nvGraphicFramePr>
        <xdr:cNvPr id="5" name="Chart 5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247680</xdr:colOff>
      <xdr:row>33</xdr:row>
      <xdr:rowOff>162000</xdr:rowOff>
    </xdr:from>
    <xdr:to>
      <xdr:col>10</xdr:col>
      <xdr:colOff>298080</xdr:colOff>
      <xdr:row>42</xdr:row>
      <xdr:rowOff>257040</xdr:rowOff>
    </xdr:to>
    <xdr:graphicFrame macro="">
      <xdr:nvGraphicFramePr>
        <xdr:cNvPr id="6" name="Chart 6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247680</xdr:colOff>
      <xdr:row>33</xdr:row>
      <xdr:rowOff>162000</xdr:rowOff>
    </xdr:from>
    <xdr:to>
      <xdr:col>10</xdr:col>
      <xdr:colOff>298080</xdr:colOff>
      <xdr:row>42</xdr:row>
      <xdr:rowOff>256680</xdr:rowOff>
    </xdr:to>
    <xdr:graphicFrame macro="">
      <xdr:nvGraphicFramePr>
        <xdr:cNvPr id="7" name="Chart 7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247680</xdr:colOff>
      <xdr:row>33</xdr:row>
      <xdr:rowOff>162000</xdr:rowOff>
    </xdr:from>
    <xdr:to>
      <xdr:col>10</xdr:col>
      <xdr:colOff>298080</xdr:colOff>
      <xdr:row>42</xdr:row>
      <xdr:rowOff>256680</xdr:rowOff>
    </xdr:to>
    <xdr:graphicFrame macro="">
      <xdr:nvGraphicFramePr>
        <xdr:cNvPr id="8" name="Chart 8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U220"/>
  <sheetViews>
    <sheetView showGridLines="0" topLeftCell="A14" zoomScale="70" zoomScaleNormal="70" workbookViewId="0">
      <selection activeCell="A8" sqref="A8"/>
    </sheetView>
  </sheetViews>
  <sheetFormatPr baseColWidth="10" defaultColWidth="14.375" defaultRowHeight="14.3" customHeight="1" x14ac:dyDescent="0.25"/>
  <cols>
    <col min="1" max="1" width="4.625" customWidth="1"/>
    <col min="2" max="2" width="4.375" customWidth="1"/>
    <col min="3" max="3" width="3.75" customWidth="1"/>
    <col min="4" max="4" width="34.875" customWidth="1"/>
    <col min="5" max="5" width="10.875" customWidth="1"/>
    <col min="6" max="6" width="42.75" customWidth="1"/>
    <col min="7" max="7" width="11.25" customWidth="1"/>
    <col min="8" max="8" width="42.75" customWidth="1"/>
    <col min="9" max="9" width="12.25" customWidth="1"/>
    <col min="10" max="10" width="42.75" customWidth="1"/>
    <col min="11" max="11" width="12" customWidth="1"/>
    <col min="12" max="12" width="4.75" hidden="1" customWidth="1"/>
    <col min="13" max="13" width="42.75" customWidth="1"/>
    <col min="14" max="14" width="11.75" customWidth="1"/>
    <col min="15" max="15" width="39.625" customWidth="1"/>
    <col min="16" max="16" width="12.875" customWidth="1"/>
    <col min="17" max="17" width="39.625" customWidth="1"/>
    <col min="18" max="18" width="12.625" customWidth="1"/>
    <col min="19" max="19" width="39.625" customWidth="1"/>
    <col min="20" max="20" width="12.375" customWidth="1"/>
    <col min="21" max="21" width="39.625" customWidth="1"/>
  </cols>
  <sheetData>
    <row r="1" spans="2:21" ht="14.3" customHeight="1" x14ac:dyDescent="0.25">
      <c r="C1" s="15"/>
    </row>
    <row r="2" spans="2:21" ht="23.3" customHeight="1" x14ac:dyDescent="0.4">
      <c r="C2" s="15"/>
      <c r="D2" s="16" t="s">
        <v>0</v>
      </c>
      <c r="E2" s="14" t="s">
        <v>1</v>
      </c>
      <c r="F2" s="14"/>
      <c r="G2" s="14"/>
      <c r="H2" s="14"/>
      <c r="I2" s="14"/>
      <c r="J2" s="14"/>
    </row>
    <row r="3" spans="2:21" ht="30.1" customHeight="1" x14ac:dyDescent="0.25">
      <c r="C3" s="13" t="s">
        <v>2</v>
      </c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7"/>
      <c r="Q3" s="17"/>
      <c r="R3" s="17"/>
      <c r="S3" s="17"/>
      <c r="T3" s="17"/>
      <c r="U3" s="17"/>
    </row>
    <row r="4" spans="2:21" ht="30.1" customHeight="1" x14ac:dyDescent="0.25"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7"/>
      <c r="Q4" s="17"/>
      <c r="R4" s="17"/>
      <c r="S4" s="17"/>
      <c r="T4" s="17"/>
      <c r="U4" s="17"/>
    </row>
    <row r="5" spans="2:21" ht="30.1" customHeight="1" x14ac:dyDescent="0.25">
      <c r="C5" s="17"/>
      <c r="D5" s="16" t="s">
        <v>3</v>
      </c>
      <c r="E5" s="12" t="s">
        <v>4</v>
      </c>
      <c r="F5" s="12"/>
      <c r="G5" s="12"/>
      <c r="H5" s="12"/>
      <c r="I5" s="12"/>
      <c r="J5" s="12"/>
      <c r="K5" s="12"/>
      <c r="L5" s="12"/>
      <c r="M5" s="12"/>
      <c r="N5" s="12"/>
      <c r="O5" s="12"/>
      <c r="P5" s="18"/>
      <c r="Q5" s="18"/>
      <c r="R5" s="18"/>
      <c r="S5" s="18"/>
      <c r="T5" s="18"/>
      <c r="U5" s="18"/>
    </row>
    <row r="6" spans="2:21" ht="55.55" customHeight="1" x14ac:dyDescent="0.25">
      <c r="C6" s="15"/>
      <c r="F6" s="11" t="s">
        <v>5</v>
      </c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</row>
    <row r="7" spans="2:21" ht="45" customHeight="1" x14ac:dyDescent="0.25">
      <c r="B7" s="10" t="s">
        <v>6</v>
      </c>
      <c r="C7" s="10" t="s">
        <v>7</v>
      </c>
      <c r="D7" s="10"/>
      <c r="E7" s="9" t="s">
        <v>8</v>
      </c>
      <c r="F7" s="10" t="s">
        <v>9</v>
      </c>
      <c r="G7" s="9" t="s">
        <v>8</v>
      </c>
      <c r="H7" s="10" t="s">
        <v>10</v>
      </c>
      <c r="I7" s="9" t="s">
        <v>8</v>
      </c>
      <c r="J7" s="10" t="s">
        <v>11</v>
      </c>
      <c r="K7" s="9" t="s">
        <v>8</v>
      </c>
      <c r="L7" s="19">
        <v>100</v>
      </c>
      <c r="M7" s="10" t="s">
        <v>12</v>
      </c>
      <c r="N7" s="9" t="s">
        <v>8</v>
      </c>
      <c r="O7" s="10" t="s">
        <v>13</v>
      </c>
      <c r="P7" s="9" t="s">
        <v>8</v>
      </c>
      <c r="Q7" s="10" t="s">
        <v>14</v>
      </c>
      <c r="R7" s="9" t="s">
        <v>8</v>
      </c>
      <c r="S7" s="10" t="s">
        <v>15</v>
      </c>
      <c r="T7" s="9" t="s">
        <v>8</v>
      </c>
      <c r="U7" s="10" t="s">
        <v>16</v>
      </c>
    </row>
    <row r="8" spans="2:21" ht="59.3" customHeight="1" x14ac:dyDescent="0.25">
      <c r="B8" s="10"/>
      <c r="C8" s="10"/>
      <c r="D8" s="10"/>
      <c r="E8" s="9"/>
      <c r="F8" s="9"/>
      <c r="G8" s="9"/>
      <c r="H8" s="9"/>
      <c r="I8" s="9"/>
      <c r="J8" s="9"/>
      <c r="K8" s="9"/>
      <c r="L8" s="19">
        <v>0</v>
      </c>
      <c r="M8" s="10"/>
      <c r="N8" s="10"/>
      <c r="O8" s="10"/>
      <c r="P8" s="10"/>
      <c r="Q8" s="10"/>
      <c r="R8" s="10"/>
      <c r="S8" s="10"/>
      <c r="T8" s="10"/>
      <c r="U8" s="10"/>
    </row>
    <row r="9" spans="2:21" ht="84.75" customHeight="1" x14ac:dyDescent="0.25">
      <c r="B9" s="20">
        <v>1</v>
      </c>
      <c r="C9" s="8" t="s">
        <v>17</v>
      </c>
      <c r="D9" s="8"/>
      <c r="E9" s="21" t="s">
        <v>18</v>
      </c>
      <c r="F9" s="22" t="s">
        <v>19</v>
      </c>
      <c r="G9" s="21" t="s">
        <v>18</v>
      </c>
      <c r="H9" s="22" t="s">
        <v>19</v>
      </c>
      <c r="I9" s="21" t="s">
        <v>18</v>
      </c>
      <c r="J9" s="22" t="s">
        <v>19</v>
      </c>
      <c r="K9" s="21" t="s">
        <v>18</v>
      </c>
      <c r="L9">
        <v>1</v>
      </c>
      <c r="M9" s="22" t="s">
        <v>19</v>
      </c>
      <c r="N9" s="21" t="s">
        <v>18</v>
      </c>
      <c r="O9" s="22" t="s">
        <v>19</v>
      </c>
      <c r="P9" s="21" t="s">
        <v>18</v>
      </c>
      <c r="Q9" s="22" t="s">
        <v>19</v>
      </c>
      <c r="R9" s="21" t="s">
        <v>18</v>
      </c>
      <c r="S9" s="22" t="s">
        <v>19</v>
      </c>
      <c r="T9" s="21" t="s">
        <v>18</v>
      </c>
      <c r="U9" s="22" t="s">
        <v>19</v>
      </c>
    </row>
    <row r="10" spans="2:21" ht="38.25" customHeight="1" x14ac:dyDescent="0.25">
      <c r="B10" s="20">
        <v>2</v>
      </c>
      <c r="C10" s="8" t="s">
        <v>20</v>
      </c>
      <c r="D10" s="8"/>
      <c r="E10" s="21" t="s">
        <v>18</v>
      </c>
      <c r="F10" s="23" t="s">
        <v>21</v>
      </c>
      <c r="G10" s="21" t="s">
        <v>18</v>
      </c>
      <c r="H10" s="23" t="s">
        <v>21</v>
      </c>
      <c r="I10" s="21" t="s">
        <v>18</v>
      </c>
      <c r="J10" s="23" t="s">
        <v>21</v>
      </c>
      <c r="K10" s="21" t="s">
        <v>18</v>
      </c>
      <c r="M10" s="23" t="s">
        <v>21</v>
      </c>
      <c r="N10" s="21" t="s">
        <v>18</v>
      </c>
      <c r="O10" s="23" t="s">
        <v>21</v>
      </c>
      <c r="P10" s="21" t="s">
        <v>18</v>
      </c>
      <c r="Q10" s="23" t="s">
        <v>21</v>
      </c>
      <c r="R10" s="21" t="s">
        <v>18</v>
      </c>
      <c r="S10" s="23" t="s">
        <v>21</v>
      </c>
      <c r="T10" s="21" t="s">
        <v>18</v>
      </c>
      <c r="U10" s="23" t="s">
        <v>21</v>
      </c>
    </row>
    <row r="11" spans="2:21" ht="84.75" customHeight="1" x14ac:dyDescent="0.25">
      <c r="B11" s="20">
        <v>3</v>
      </c>
      <c r="C11" s="8" t="s">
        <v>22</v>
      </c>
      <c r="D11" s="8"/>
      <c r="E11" s="21" t="s">
        <v>18</v>
      </c>
      <c r="F11" s="23" t="s">
        <v>23</v>
      </c>
      <c r="G11" s="21" t="s">
        <v>18</v>
      </c>
      <c r="H11" s="23" t="s">
        <v>23</v>
      </c>
      <c r="I11" s="21" t="s">
        <v>18</v>
      </c>
      <c r="J11" s="23" t="s">
        <v>23</v>
      </c>
      <c r="K11" s="21" t="s">
        <v>18</v>
      </c>
      <c r="M11" s="23" t="s">
        <v>23</v>
      </c>
      <c r="N11" s="21" t="s">
        <v>24</v>
      </c>
      <c r="O11" s="23" t="s">
        <v>23</v>
      </c>
      <c r="P11" s="21" t="s">
        <v>18</v>
      </c>
      <c r="Q11" s="23" t="s">
        <v>23</v>
      </c>
      <c r="R11" s="21" t="s">
        <v>18</v>
      </c>
      <c r="S11" s="23" t="s">
        <v>23</v>
      </c>
      <c r="T11" s="21" t="s">
        <v>18</v>
      </c>
      <c r="U11" s="23" t="s">
        <v>23</v>
      </c>
    </row>
    <row r="12" spans="2:21" ht="48.75" customHeight="1" x14ac:dyDescent="0.25">
      <c r="B12" s="20">
        <v>4</v>
      </c>
      <c r="C12" s="8" t="s">
        <v>25</v>
      </c>
      <c r="D12" s="8"/>
      <c r="E12" s="21" t="s">
        <v>18</v>
      </c>
      <c r="F12" s="23" t="s">
        <v>26</v>
      </c>
      <c r="G12" s="21" t="s">
        <v>18</v>
      </c>
      <c r="H12" s="23" t="s">
        <v>26</v>
      </c>
      <c r="I12" s="21" t="s">
        <v>18</v>
      </c>
      <c r="J12" s="23" t="s">
        <v>26</v>
      </c>
      <c r="K12" s="21" t="s">
        <v>18</v>
      </c>
      <c r="M12" s="23" t="s">
        <v>26</v>
      </c>
      <c r="N12" s="21" t="s">
        <v>18</v>
      </c>
      <c r="O12" s="23" t="s">
        <v>26</v>
      </c>
      <c r="P12" s="21" t="s">
        <v>18</v>
      </c>
      <c r="Q12" s="23" t="s">
        <v>26</v>
      </c>
      <c r="R12" s="21" t="s">
        <v>18</v>
      </c>
      <c r="S12" s="23" t="s">
        <v>26</v>
      </c>
      <c r="T12" s="21" t="s">
        <v>18</v>
      </c>
      <c r="U12" s="23" t="s">
        <v>26</v>
      </c>
    </row>
    <row r="13" spans="2:21" ht="84.75" customHeight="1" x14ac:dyDescent="0.25">
      <c r="B13" s="20">
        <v>5</v>
      </c>
      <c r="C13" s="8" t="s">
        <v>27</v>
      </c>
      <c r="D13" s="8"/>
      <c r="E13" s="21" t="s">
        <v>18</v>
      </c>
      <c r="F13" s="23" t="s">
        <v>28</v>
      </c>
      <c r="G13" s="21" t="s">
        <v>18</v>
      </c>
      <c r="H13" s="23" t="s">
        <v>28</v>
      </c>
      <c r="I13" s="21" t="s">
        <v>18</v>
      </c>
      <c r="J13" s="23" t="s">
        <v>28</v>
      </c>
      <c r="K13" s="21" t="s">
        <v>18</v>
      </c>
      <c r="M13" s="23" t="s">
        <v>28</v>
      </c>
      <c r="N13" s="21" t="s">
        <v>18</v>
      </c>
      <c r="O13" s="23" t="s">
        <v>28</v>
      </c>
      <c r="P13" s="21" t="s">
        <v>18</v>
      </c>
      <c r="Q13" s="23" t="s">
        <v>28</v>
      </c>
      <c r="R13" s="21" t="s">
        <v>18</v>
      </c>
      <c r="S13" s="23" t="s">
        <v>28</v>
      </c>
      <c r="T13" s="21" t="s">
        <v>18</v>
      </c>
      <c r="U13" s="23" t="s">
        <v>28</v>
      </c>
    </row>
    <row r="14" spans="2:21" ht="108" customHeight="1" x14ac:dyDescent="0.25">
      <c r="B14" s="20">
        <v>6</v>
      </c>
      <c r="C14" s="8" t="s">
        <v>29</v>
      </c>
      <c r="D14" s="8"/>
      <c r="E14" s="21" t="s">
        <v>18</v>
      </c>
      <c r="F14" s="23" t="s">
        <v>30</v>
      </c>
      <c r="G14" s="21" t="s">
        <v>18</v>
      </c>
      <c r="H14" s="23" t="s">
        <v>30</v>
      </c>
      <c r="I14" s="21" t="s">
        <v>18</v>
      </c>
      <c r="J14" s="23" t="s">
        <v>30</v>
      </c>
      <c r="K14" s="21" t="s">
        <v>18</v>
      </c>
      <c r="M14" s="23" t="s">
        <v>30</v>
      </c>
      <c r="N14" s="21" t="s">
        <v>18</v>
      </c>
      <c r="O14" s="23" t="s">
        <v>30</v>
      </c>
      <c r="P14" s="21" t="s">
        <v>18</v>
      </c>
      <c r="Q14" s="23" t="s">
        <v>30</v>
      </c>
      <c r="R14" s="21" t="s">
        <v>18</v>
      </c>
      <c r="S14" s="23" t="s">
        <v>30</v>
      </c>
      <c r="T14" s="21" t="s">
        <v>18</v>
      </c>
      <c r="U14" s="23" t="s">
        <v>30</v>
      </c>
    </row>
    <row r="15" spans="2:21" ht="73.55" customHeight="1" x14ac:dyDescent="0.25">
      <c r="B15" s="20">
        <v>7</v>
      </c>
      <c r="C15" s="8" t="s">
        <v>31</v>
      </c>
      <c r="D15" s="8"/>
      <c r="E15" s="24" t="s">
        <v>24</v>
      </c>
      <c r="F15" s="23" t="s">
        <v>32</v>
      </c>
      <c r="G15" s="24" t="s">
        <v>24</v>
      </c>
      <c r="H15" s="23" t="s">
        <v>32</v>
      </c>
      <c r="I15" s="24" t="s">
        <v>24</v>
      </c>
      <c r="J15" s="23" t="s">
        <v>32</v>
      </c>
      <c r="K15" s="24" t="s">
        <v>24</v>
      </c>
      <c r="M15" s="23" t="s">
        <v>32</v>
      </c>
      <c r="N15" s="24" t="s">
        <v>24</v>
      </c>
      <c r="O15" s="23" t="s">
        <v>32</v>
      </c>
      <c r="P15" s="24" t="s">
        <v>24</v>
      </c>
      <c r="Q15" s="23" t="s">
        <v>32</v>
      </c>
      <c r="R15" s="24" t="s">
        <v>24</v>
      </c>
      <c r="S15" s="23" t="s">
        <v>32</v>
      </c>
      <c r="T15" s="24" t="s">
        <v>24</v>
      </c>
      <c r="U15" s="23" t="s">
        <v>32</v>
      </c>
    </row>
    <row r="16" spans="2:21" ht="96.8" customHeight="1" x14ac:dyDescent="0.25">
      <c r="B16" s="20">
        <v>8</v>
      </c>
      <c r="C16" s="8" t="s">
        <v>33</v>
      </c>
      <c r="D16" s="8"/>
      <c r="E16" s="21" t="s">
        <v>18</v>
      </c>
      <c r="F16" s="23" t="s">
        <v>34</v>
      </c>
      <c r="G16" s="21" t="s">
        <v>18</v>
      </c>
      <c r="H16" s="23" t="s">
        <v>34</v>
      </c>
      <c r="I16" s="21" t="s">
        <v>18</v>
      </c>
      <c r="J16" s="23" t="s">
        <v>34</v>
      </c>
      <c r="K16" s="21" t="s">
        <v>18</v>
      </c>
      <c r="M16" s="23" t="s">
        <v>34</v>
      </c>
      <c r="N16" s="21" t="s">
        <v>18</v>
      </c>
      <c r="O16" s="23" t="s">
        <v>34</v>
      </c>
      <c r="P16" s="21" t="s">
        <v>18</v>
      </c>
      <c r="Q16" s="23" t="s">
        <v>34</v>
      </c>
      <c r="R16" s="21" t="s">
        <v>18</v>
      </c>
      <c r="S16" s="23" t="s">
        <v>34</v>
      </c>
      <c r="T16" s="21" t="s">
        <v>18</v>
      </c>
      <c r="U16" s="23" t="s">
        <v>34</v>
      </c>
    </row>
    <row r="17" spans="2:21" ht="72" customHeight="1" x14ac:dyDescent="0.25">
      <c r="B17" s="20">
        <v>9</v>
      </c>
      <c r="C17" s="8" t="s">
        <v>35</v>
      </c>
      <c r="D17" s="8"/>
      <c r="E17" s="21" t="s">
        <v>18</v>
      </c>
      <c r="F17" s="25" t="s">
        <v>36</v>
      </c>
      <c r="G17" s="21" t="s">
        <v>18</v>
      </c>
      <c r="H17" s="25" t="s">
        <v>36</v>
      </c>
      <c r="I17" s="21" t="s">
        <v>18</v>
      </c>
      <c r="J17" s="25" t="s">
        <v>36</v>
      </c>
      <c r="K17" s="21" t="s">
        <v>18</v>
      </c>
      <c r="M17" s="25" t="s">
        <v>36</v>
      </c>
      <c r="N17" s="21" t="s">
        <v>18</v>
      </c>
      <c r="O17" s="25" t="s">
        <v>36</v>
      </c>
      <c r="P17" s="21" t="s">
        <v>18</v>
      </c>
      <c r="Q17" s="25" t="s">
        <v>36</v>
      </c>
      <c r="R17" s="21" t="s">
        <v>18</v>
      </c>
      <c r="S17" s="25" t="s">
        <v>36</v>
      </c>
      <c r="T17" s="21" t="s">
        <v>18</v>
      </c>
      <c r="U17" s="25" t="s">
        <v>36</v>
      </c>
    </row>
    <row r="18" spans="2:21" ht="93.1" customHeight="1" x14ac:dyDescent="0.25">
      <c r="B18" s="20">
        <v>10</v>
      </c>
      <c r="C18" s="8" t="s">
        <v>37</v>
      </c>
      <c r="D18" s="8"/>
      <c r="E18" s="21" t="s">
        <v>18</v>
      </c>
      <c r="F18" s="26" t="s">
        <v>38</v>
      </c>
      <c r="G18" s="21" t="s">
        <v>18</v>
      </c>
      <c r="H18" s="26" t="s">
        <v>38</v>
      </c>
      <c r="I18" s="21" t="s">
        <v>18</v>
      </c>
      <c r="J18" s="26" t="s">
        <v>38</v>
      </c>
      <c r="K18" s="21" t="s">
        <v>18</v>
      </c>
      <c r="M18" s="26" t="s">
        <v>38</v>
      </c>
      <c r="N18" s="21" t="s">
        <v>18</v>
      </c>
      <c r="O18" s="26" t="s">
        <v>38</v>
      </c>
      <c r="P18" s="21" t="s">
        <v>18</v>
      </c>
      <c r="Q18" s="26" t="s">
        <v>38</v>
      </c>
      <c r="R18" s="21" t="s">
        <v>18</v>
      </c>
      <c r="S18" s="26" t="s">
        <v>38</v>
      </c>
      <c r="T18" s="21" t="s">
        <v>18</v>
      </c>
      <c r="U18" s="26" t="s">
        <v>38</v>
      </c>
    </row>
    <row r="19" spans="2:21" ht="60.8" customHeight="1" x14ac:dyDescent="0.25">
      <c r="B19" s="20">
        <v>11</v>
      </c>
      <c r="C19" s="8" t="s">
        <v>39</v>
      </c>
      <c r="D19" s="8"/>
      <c r="E19" s="21" t="s">
        <v>18</v>
      </c>
      <c r="F19" s="23" t="s">
        <v>40</v>
      </c>
      <c r="G19" s="21" t="s">
        <v>18</v>
      </c>
      <c r="H19" s="23" t="s">
        <v>40</v>
      </c>
      <c r="I19" s="21" t="s">
        <v>18</v>
      </c>
      <c r="J19" s="23" t="s">
        <v>40</v>
      </c>
      <c r="K19" s="21" t="s">
        <v>18</v>
      </c>
      <c r="M19" s="23" t="s">
        <v>40</v>
      </c>
      <c r="N19" s="21" t="s">
        <v>18</v>
      </c>
      <c r="O19" s="23" t="s">
        <v>40</v>
      </c>
      <c r="P19" s="21" t="s">
        <v>18</v>
      </c>
      <c r="Q19" s="23" t="s">
        <v>40</v>
      </c>
      <c r="R19" s="21" t="s">
        <v>18</v>
      </c>
      <c r="S19" s="23" t="s">
        <v>40</v>
      </c>
      <c r="T19" s="21" t="s">
        <v>18</v>
      </c>
      <c r="U19" s="23" t="s">
        <v>40</v>
      </c>
    </row>
    <row r="20" spans="2:21" ht="14.3" customHeight="1" x14ac:dyDescent="0.25">
      <c r="C20" s="15"/>
    </row>
    <row r="21" spans="2:21" ht="14.3" customHeight="1" x14ac:dyDescent="0.25">
      <c r="C21" s="15"/>
    </row>
    <row r="22" spans="2:21" ht="14.3" customHeight="1" x14ac:dyDescent="0.25">
      <c r="C22" s="15"/>
    </row>
    <row r="23" spans="2:21" ht="14.3" customHeight="1" x14ac:dyDescent="0.25">
      <c r="C23" s="15"/>
    </row>
    <row r="24" spans="2:21" ht="14.3" customHeight="1" x14ac:dyDescent="0.25">
      <c r="C24" s="15"/>
    </row>
    <row r="25" spans="2:21" ht="14.3" customHeight="1" x14ac:dyDescent="0.25">
      <c r="C25" s="15"/>
    </row>
    <row r="26" spans="2:21" ht="14.3" customHeight="1" x14ac:dyDescent="0.25">
      <c r="C26" s="15"/>
    </row>
    <row r="27" spans="2:21" ht="14.3" customHeight="1" x14ac:dyDescent="0.25">
      <c r="C27" s="15"/>
    </row>
    <row r="28" spans="2:21" ht="14.3" customHeight="1" x14ac:dyDescent="0.25">
      <c r="C28" s="15"/>
    </row>
    <row r="29" spans="2:21" ht="14.3" customHeight="1" x14ac:dyDescent="0.25">
      <c r="C29" s="15"/>
    </row>
    <row r="30" spans="2:21" ht="14.3" customHeight="1" x14ac:dyDescent="0.25">
      <c r="C30" s="15"/>
    </row>
    <row r="31" spans="2:21" ht="14.3" customHeight="1" x14ac:dyDescent="0.25">
      <c r="C31" s="15"/>
    </row>
    <row r="32" spans="2:21" ht="14.3" customHeight="1" x14ac:dyDescent="0.25">
      <c r="C32" s="15"/>
    </row>
    <row r="33" spans="3:3" ht="14.3" customHeight="1" x14ac:dyDescent="0.25">
      <c r="C33" s="15"/>
    </row>
    <row r="34" spans="3:3" ht="14.3" customHeight="1" x14ac:dyDescent="0.25">
      <c r="C34" s="15"/>
    </row>
    <row r="35" spans="3:3" ht="14.3" customHeight="1" x14ac:dyDescent="0.25">
      <c r="C35" s="15"/>
    </row>
    <row r="36" spans="3:3" ht="14.3" customHeight="1" x14ac:dyDescent="0.25">
      <c r="C36" s="15"/>
    </row>
    <row r="37" spans="3:3" ht="14.3" customHeight="1" x14ac:dyDescent="0.25">
      <c r="C37" s="15"/>
    </row>
    <row r="38" spans="3:3" ht="14.3" customHeight="1" x14ac:dyDescent="0.25">
      <c r="C38" s="15"/>
    </row>
    <row r="39" spans="3:3" ht="14.3" customHeight="1" x14ac:dyDescent="0.25">
      <c r="C39" s="15"/>
    </row>
    <row r="40" spans="3:3" ht="14.3" customHeight="1" x14ac:dyDescent="0.25">
      <c r="C40" s="15"/>
    </row>
    <row r="41" spans="3:3" ht="14.3" customHeight="1" x14ac:dyDescent="0.25">
      <c r="C41" s="15"/>
    </row>
    <row r="42" spans="3:3" ht="14.3" customHeight="1" x14ac:dyDescent="0.25">
      <c r="C42" s="15"/>
    </row>
    <row r="43" spans="3:3" ht="14.3" customHeight="1" x14ac:dyDescent="0.25">
      <c r="C43" s="15"/>
    </row>
    <row r="44" spans="3:3" ht="14.3" customHeight="1" x14ac:dyDescent="0.25">
      <c r="C44" s="15"/>
    </row>
    <row r="45" spans="3:3" ht="14.3" customHeight="1" x14ac:dyDescent="0.25">
      <c r="C45" s="15"/>
    </row>
    <row r="46" spans="3:3" ht="14.3" customHeight="1" x14ac:dyDescent="0.25">
      <c r="C46" s="15"/>
    </row>
    <row r="47" spans="3:3" ht="14.3" customHeight="1" x14ac:dyDescent="0.25">
      <c r="C47" s="15"/>
    </row>
    <row r="48" spans="3:3" ht="14.3" customHeight="1" x14ac:dyDescent="0.25">
      <c r="C48" s="15"/>
    </row>
    <row r="49" spans="3:3" ht="14.3" customHeight="1" x14ac:dyDescent="0.25">
      <c r="C49" s="15"/>
    </row>
    <row r="50" spans="3:3" ht="14.3" customHeight="1" x14ac:dyDescent="0.25">
      <c r="C50" s="15"/>
    </row>
    <row r="51" spans="3:3" ht="14.3" customHeight="1" x14ac:dyDescent="0.25">
      <c r="C51" s="15"/>
    </row>
    <row r="52" spans="3:3" ht="14.3" customHeight="1" x14ac:dyDescent="0.25">
      <c r="C52" s="15"/>
    </row>
    <row r="53" spans="3:3" ht="14.3" customHeight="1" x14ac:dyDescent="0.25">
      <c r="C53" s="15"/>
    </row>
    <row r="54" spans="3:3" ht="14.3" customHeight="1" x14ac:dyDescent="0.25">
      <c r="C54" s="15"/>
    </row>
    <row r="55" spans="3:3" ht="14.3" customHeight="1" x14ac:dyDescent="0.25">
      <c r="C55" s="15"/>
    </row>
    <row r="56" spans="3:3" ht="14.3" customHeight="1" x14ac:dyDescent="0.25">
      <c r="C56" s="15"/>
    </row>
    <row r="57" spans="3:3" ht="14.3" customHeight="1" x14ac:dyDescent="0.25">
      <c r="C57" s="15"/>
    </row>
    <row r="58" spans="3:3" ht="14.3" customHeight="1" x14ac:dyDescent="0.25">
      <c r="C58" s="15"/>
    </row>
    <row r="59" spans="3:3" ht="14.3" customHeight="1" x14ac:dyDescent="0.25">
      <c r="C59" s="15"/>
    </row>
    <row r="60" spans="3:3" ht="14.3" customHeight="1" x14ac:dyDescent="0.25">
      <c r="C60" s="15"/>
    </row>
    <row r="61" spans="3:3" ht="14.3" customHeight="1" x14ac:dyDescent="0.25">
      <c r="C61" s="15"/>
    </row>
    <row r="62" spans="3:3" ht="14.3" customHeight="1" x14ac:dyDescent="0.25">
      <c r="C62" s="15"/>
    </row>
    <row r="63" spans="3:3" ht="14.3" customHeight="1" x14ac:dyDescent="0.25">
      <c r="C63" s="15"/>
    </row>
    <row r="64" spans="3:3" ht="14.3" customHeight="1" x14ac:dyDescent="0.25">
      <c r="C64" s="15"/>
    </row>
    <row r="65" spans="3:3" ht="14.3" customHeight="1" x14ac:dyDescent="0.25">
      <c r="C65" s="15"/>
    </row>
    <row r="66" spans="3:3" ht="14.3" customHeight="1" x14ac:dyDescent="0.25">
      <c r="C66" s="15"/>
    </row>
    <row r="67" spans="3:3" ht="14.3" customHeight="1" x14ac:dyDescent="0.25">
      <c r="C67" s="15"/>
    </row>
    <row r="68" spans="3:3" ht="14.3" customHeight="1" x14ac:dyDescent="0.25">
      <c r="C68" s="15"/>
    </row>
    <row r="69" spans="3:3" ht="14.3" customHeight="1" x14ac:dyDescent="0.25">
      <c r="C69" s="15"/>
    </row>
    <row r="70" spans="3:3" ht="14.3" customHeight="1" x14ac:dyDescent="0.25">
      <c r="C70" s="15"/>
    </row>
    <row r="71" spans="3:3" ht="14.3" customHeight="1" x14ac:dyDescent="0.25">
      <c r="C71" s="15"/>
    </row>
    <row r="72" spans="3:3" ht="14.3" customHeight="1" x14ac:dyDescent="0.25">
      <c r="C72" s="15"/>
    </row>
    <row r="73" spans="3:3" ht="14.3" customHeight="1" x14ac:dyDescent="0.25">
      <c r="C73" s="15"/>
    </row>
    <row r="74" spans="3:3" ht="14.3" customHeight="1" x14ac:dyDescent="0.25">
      <c r="C74" s="15"/>
    </row>
    <row r="75" spans="3:3" ht="14.3" customHeight="1" x14ac:dyDescent="0.25">
      <c r="C75" s="15"/>
    </row>
    <row r="76" spans="3:3" ht="14.3" customHeight="1" x14ac:dyDescent="0.25">
      <c r="C76" s="15"/>
    </row>
    <row r="77" spans="3:3" ht="14.3" customHeight="1" x14ac:dyDescent="0.25">
      <c r="C77" s="15"/>
    </row>
    <row r="78" spans="3:3" ht="14.3" customHeight="1" x14ac:dyDescent="0.25">
      <c r="C78" s="15"/>
    </row>
    <row r="79" spans="3:3" ht="14.3" customHeight="1" x14ac:dyDescent="0.25">
      <c r="C79" s="15"/>
    </row>
    <row r="80" spans="3:3" ht="14.3" customHeight="1" x14ac:dyDescent="0.25">
      <c r="C80" s="15"/>
    </row>
    <row r="81" spans="3:3" ht="14.3" customHeight="1" x14ac:dyDescent="0.25">
      <c r="C81" s="15"/>
    </row>
    <row r="82" spans="3:3" ht="14.3" customHeight="1" x14ac:dyDescent="0.25">
      <c r="C82" s="15"/>
    </row>
    <row r="83" spans="3:3" ht="14.3" customHeight="1" x14ac:dyDescent="0.25">
      <c r="C83" s="15"/>
    </row>
    <row r="84" spans="3:3" ht="14.3" customHeight="1" x14ac:dyDescent="0.25">
      <c r="C84" s="15"/>
    </row>
    <row r="85" spans="3:3" ht="14.3" customHeight="1" x14ac:dyDescent="0.25">
      <c r="C85" s="15"/>
    </row>
    <row r="86" spans="3:3" ht="14.3" customHeight="1" x14ac:dyDescent="0.25">
      <c r="C86" s="15"/>
    </row>
    <row r="87" spans="3:3" ht="14.3" customHeight="1" x14ac:dyDescent="0.25">
      <c r="C87" s="15"/>
    </row>
    <row r="88" spans="3:3" ht="14.3" customHeight="1" x14ac:dyDescent="0.25">
      <c r="C88" s="15"/>
    </row>
    <row r="89" spans="3:3" ht="14.3" customHeight="1" x14ac:dyDescent="0.25">
      <c r="C89" s="15"/>
    </row>
    <row r="90" spans="3:3" ht="14.3" customHeight="1" x14ac:dyDescent="0.25">
      <c r="C90" s="15"/>
    </row>
    <row r="91" spans="3:3" ht="14.3" customHeight="1" x14ac:dyDescent="0.25">
      <c r="C91" s="15"/>
    </row>
    <row r="92" spans="3:3" ht="14.3" customHeight="1" x14ac:dyDescent="0.25">
      <c r="C92" s="15"/>
    </row>
    <row r="93" spans="3:3" ht="14.3" customHeight="1" x14ac:dyDescent="0.25">
      <c r="C93" s="15"/>
    </row>
    <row r="94" spans="3:3" ht="14.3" customHeight="1" x14ac:dyDescent="0.25">
      <c r="C94" s="15"/>
    </row>
    <row r="95" spans="3:3" ht="14.3" customHeight="1" x14ac:dyDescent="0.25">
      <c r="C95" s="15"/>
    </row>
    <row r="96" spans="3:3" ht="14.3" customHeight="1" x14ac:dyDescent="0.25">
      <c r="C96" s="15"/>
    </row>
    <row r="97" spans="3:3" ht="14.3" customHeight="1" x14ac:dyDescent="0.25">
      <c r="C97" s="15"/>
    </row>
    <row r="98" spans="3:3" ht="14.3" customHeight="1" x14ac:dyDescent="0.25">
      <c r="C98" s="15"/>
    </row>
    <row r="99" spans="3:3" ht="14.3" customHeight="1" x14ac:dyDescent="0.25">
      <c r="C99" s="15"/>
    </row>
    <row r="100" spans="3:3" ht="14.3" customHeight="1" x14ac:dyDescent="0.25">
      <c r="C100" s="15"/>
    </row>
    <row r="101" spans="3:3" ht="14.3" customHeight="1" x14ac:dyDescent="0.25">
      <c r="C101" s="15"/>
    </row>
    <row r="102" spans="3:3" ht="14.3" customHeight="1" x14ac:dyDescent="0.25">
      <c r="C102" s="15"/>
    </row>
    <row r="103" spans="3:3" ht="14.3" customHeight="1" x14ac:dyDescent="0.25">
      <c r="C103" s="15"/>
    </row>
    <row r="104" spans="3:3" ht="14.3" customHeight="1" x14ac:dyDescent="0.25">
      <c r="C104" s="15"/>
    </row>
    <row r="105" spans="3:3" ht="14.3" customHeight="1" x14ac:dyDescent="0.25">
      <c r="C105" s="15"/>
    </row>
    <row r="106" spans="3:3" ht="14.3" customHeight="1" x14ac:dyDescent="0.25">
      <c r="C106" s="15"/>
    </row>
    <row r="107" spans="3:3" ht="14.3" customHeight="1" x14ac:dyDescent="0.25">
      <c r="C107" s="15"/>
    </row>
    <row r="108" spans="3:3" ht="14.3" customHeight="1" x14ac:dyDescent="0.25">
      <c r="C108" s="15"/>
    </row>
    <row r="109" spans="3:3" ht="14.3" customHeight="1" x14ac:dyDescent="0.25">
      <c r="C109" s="15"/>
    </row>
    <row r="110" spans="3:3" ht="14.3" customHeight="1" x14ac:dyDescent="0.25">
      <c r="C110" s="15"/>
    </row>
    <row r="111" spans="3:3" ht="14.3" customHeight="1" x14ac:dyDescent="0.25">
      <c r="C111" s="15"/>
    </row>
    <row r="112" spans="3:3" ht="14.3" customHeight="1" x14ac:dyDescent="0.25">
      <c r="C112" s="15"/>
    </row>
    <row r="113" spans="3:3" ht="14.3" customHeight="1" x14ac:dyDescent="0.25">
      <c r="C113" s="15"/>
    </row>
    <row r="114" spans="3:3" ht="14.3" customHeight="1" x14ac:dyDescent="0.25">
      <c r="C114" s="15"/>
    </row>
    <row r="115" spans="3:3" ht="14.3" customHeight="1" x14ac:dyDescent="0.25">
      <c r="C115" s="15"/>
    </row>
    <row r="116" spans="3:3" ht="14.3" customHeight="1" x14ac:dyDescent="0.25">
      <c r="C116" s="15"/>
    </row>
    <row r="117" spans="3:3" ht="14.3" customHeight="1" x14ac:dyDescent="0.25">
      <c r="C117" s="15"/>
    </row>
    <row r="118" spans="3:3" ht="14.3" customHeight="1" x14ac:dyDescent="0.25">
      <c r="C118" s="15"/>
    </row>
    <row r="119" spans="3:3" ht="14.3" customHeight="1" x14ac:dyDescent="0.25">
      <c r="C119" s="15"/>
    </row>
    <row r="120" spans="3:3" ht="14.3" customHeight="1" x14ac:dyDescent="0.25">
      <c r="C120" s="15"/>
    </row>
    <row r="121" spans="3:3" ht="14.3" customHeight="1" x14ac:dyDescent="0.25">
      <c r="C121" s="15"/>
    </row>
    <row r="122" spans="3:3" ht="14.3" customHeight="1" x14ac:dyDescent="0.25">
      <c r="C122" s="15"/>
    </row>
    <row r="123" spans="3:3" ht="14.3" customHeight="1" x14ac:dyDescent="0.25">
      <c r="C123" s="15"/>
    </row>
    <row r="124" spans="3:3" ht="14.3" customHeight="1" x14ac:dyDescent="0.25">
      <c r="C124" s="15"/>
    </row>
    <row r="125" spans="3:3" ht="14.3" customHeight="1" x14ac:dyDescent="0.25">
      <c r="C125" s="15"/>
    </row>
    <row r="126" spans="3:3" ht="14.3" customHeight="1" x14ac:dyDescent="0.25">
      <c r="C126" s="15"/>
    </row>
    <row r="127" spans="3:3" ht="14.3" customHeight="1" x14ac:dyDescent="0.25">
      <c r="C127" s="15"/>
    </row>
    <row r="128" spans="3:3" ht="14.3" customHeight="1" x14ac:dyDescent="0.25">
      <c r="C128" s="15"/>
    </row>
    <row r="129" spans="3:3" ht="14.3" customHeight="1" x14ac:dyDescent="0.25">
      <c r="C129" s="15"/>
    </row>
    <row r="130" spans="3:3" ht="14.3" customHeight="1" x14ac:dyDescent="0.25">
      <c r="C130" s="15"/>
    </row>
    <row r="131" spans="3:3" ht="14.3" customHeight="1" x14ac:dyDescent="0.25">
      <c r="C131" s="15"/>
    </row>
    <row r="132" spans="3:3" ht="14.3" customHeight="1" x14ac:dyDescent="0.25">
      <c r="C132" s="15"/>
    </row>
    <row r="133" spans="3:3" ht="14.3" customHeight="1" x14ac:dyDescent="0.25">
      <c r="C133" s="15"/>
    </row>
    <row r="134" spans="3:3" ht="14.3" customHeight="1" x14ac:dyDescent="0.25">
      <c r="C134" s="15"/>
    </row>
    <row r="135" spans="3:3" ht="14.3" customHeight="1" x14ac:dyDescent="0.25">
      <c r="C135" s="15"/>
    </row>
    <row r="136" spans="3:3" ht="14.3" customHeight="1" x14ac:dyDescent="0.25">
      <c r="C136" s="15"/>
    </row>
    <row r="137" spans="3:3" ht="14.3" customHeight="1" x14ac:dyDescent="0.25">
      <c r="C137" s="15"/>
    </row>
    <row r="138" spans="3:3" ht="14.3" customHeight="1" x14ac:dyDescent="0.25">
      <c r="C138" s="15"/>
    </row>
    <row r="139" spans="3:3" ht="14.3" customHeight="1" x14ac:dyDescent="0.25">
      <c r="C139" s="15"/>
    </row>
    <row r="140" spans="3:3" ht="14.3" customHeight="1" x14ac:dyDescent="0.25">
      <c r="C140" s="15"/>
    </row>
    <row r="141" spans="3:3" ht="14.3" customHeight="1" x14ac:dyDescent="0.25">
      <c r="C141" s="15"/>
    </row>
    <row r="142" spans="3:3" ht="14.3" customHeight="1" x14ac:dyDescent="0.25">
      <c r="C142" s="15"/>
    </row>
    <row r="143" spans="3:3" ht="14.3" customHeight="1" x14ac:dyDescent="0.25">
      <c r="C143" s="15"/>
    </row>
    <row r="144" spans="3:3" ht="14.3" customHeight="1" x14ac:dyDescent="0.25">
      <c r="C144" s="15"/>
    </row>
    <row r="145" spans="3:3" ht="14.3" customHeight="1" x14ac:dyDescent="0.25">
      <c r="C145" s="15"/>
    </row>
    <row r="146" spans="3:3" ht="14.3" customHeight="1" x14ac:dyDescent="0.25">
      <c r="C146" s="15"/>
    </row>
    <row r="147" spans="3:3" ht="14.3" customHeight="1" x14ac:dyDescent="0.25">
      <c r="C147" s="15"/>
    </row>
    <row r="148" spans="3:3" ht="14.3" customHeight="1" x14ac:dyDescent="0.25">
      <c r="C148" s="15"/>
    </row>
    <row r="149" spans="3:3" ht="14.3" customHeight="1" x14ac:dyDescent="0.25">
      <c r="C149" s="15"/>
    </row>
    <row r="150" spans="3:3" ht="14.3" customHeight="1" x14ac:dyDescent="0.25">
      <c r="C150" s="15"/>
    </row>
    <row r="151" spans="3:3" ht="14.3" customHeight="1" x14ac:dyDescent="0.25">
      <c r="C151" s="15"/>
    </row>
    <row r="152" spans="3:3" ht="14.3" customHeight="1" x14ac:dyDescent="0.25">
      <c r="C152" s="15"/>
    </row>
    <row r="153" spans="3:3" ht="14.3" customHeight="1" x14ac:dyDescent="0.25">
      <c r="C153" s="15"/>
    </row>
    <row r="154" spans="3:3" ht="14.3" customHeight="1" x14ac:dyDescent="0.25">
      <c r="C154" s="15"/>
    </row>
    <row r="155" spans="3:3" ht="14.3" customHeight="1" x14ac:dyDescent="0.25">
      <c r="C155" s="15"/>
    </row>
    <row r="156" spans="3:3" ht="14.3" customHeight="1" x14ac:dyDescent="0.25">
      <c r="C156" s="15"/>
    </row>
    <row r="157" spans="3:3" ht="14.3" customHeight="1" x14ac:dyDescent="0.25">
      <c r="C157" s="15"/>
    </row>
    <row r="158" spans="3:3" ht="14.3" customHeight="1" x14ac:dyDescent="0.25">
      <c r="C158" s="15"/>
    </row>
    <row r="159" spans="3:3" ht="14.3" customHeight="1" x14ac:dyDescent="0.25">
      <c r="C159" s="15"/>
    </row>
    <row r="160" spans="3:3" ht="14.3" customHeight="1" x14ac:dyDescent="0.25">
      <c r="C160" s="15"/>
    </row>
    <row r="161" spans="3:3" ht="14.3" customHeight="1" x14ac:dyDescent="0.25">
      <c r="C161" s="15"/>
    </row>
    <row r="162" spans="3:3" ht="14.3" customHeight="1" x14ac:dyDescent="0.25">
      <c r="C162" s="15"/>
    </row>
    <row r="163" spans="3:3" ht="14.3" customHeight="1" x14ac:dyDescent="0.25">
      <c r="C163" s="15"/>
    </row>
    <row r="164" spans="3:3" ht="14.3" customHeight="1" x14ac:dyDescent="0.25">
      <c r="C164" s="15"/>
    </row>
    <row r="165" spans="3:3" ht="14.3" customHeight="1" x14ac:dyDescent="0.25">
      <c r="C165" s="15"/>
    </row>
    <row r="166" spans="3:3" ht="14.3" customHeight="1" x14ac:dyDescent="0.25">
      <c r="C166" s="15"/>
    </row>
    <row r="167" spans="3:3" ht="14.3" customHeight="1" x14ac:dyDescent="0.25">
      <c r="C167" s="15"/>
    </row>
    <row r="168" spans="3:3" ht="14.3" customHeight="1" x14ac:dyDescent="0.25">
      <c r="C168" s="15"/>
    </row>
    <row r="169" spans="3:3" ht="14.3" customHeight="1" x14ac:dyDescent="0.25">
      <c r="C169" s="15"/>
    </row>
    <row r="170" spans="3:3" ht="14.3" customHeight="1" x14ac:dyDescent="0.25">
      <c r="C170" s="15"/>
    </row>
    <row r="171" spans="3:3" ht="14.3" customHeight="1" x14ac:dyDescent="0.25">
      <c r="C171" s="15"/>
    </row>
    <row r="172" spans="3:3" ht="14.3" customHeight="1" x14ac:dyDescent="0.25">
      <c r="C172" s="15"/>
    </row>
    <row r="173" spans="3:3" ht="14.3" customHeight="1" x14ac:dyDescent="0.25">
      <c r="C173" s="15"/>
    </row>
    <row r="174" spans="3:3" ht="14.3" customHeight="1" x14ac:dyDescent="0.25">
      <c r="C174" s="15"/>
    </row>
    <row r="175" spans="3:3" ht="14.3" customHeight="1" x14ac:dyDescent="0.25">
      <c r="C175" s="15"/>
    </row>
    <row r="176" spans="3:3" ht="14.3" customHeight="1" x14ac:dyDescent="0.25">
      <c r="C176" s="15"/>
    </row>
    <row r="177" spans="3:3" ht="14.3" customHeight="1" x14ac:dyDescent="0.25">
      <c r="C177" s="15"/>
    </row>
    <row r="178" spans="3:3" ht="14.3" customHeight="1" x14ac:dyDescent="0.25">
      <c r="C178" s="15"/>
    </row>
    <row r="179" spans="3:3" ht="14.3" customHeight="1" x14ac:dyDescent="0.25">
      <c r="C179" s="15"/>
    </row>
    <row r="180" spans="3:3" ht="14.3" customHeight="1" x14ac:dyDescent="0.25">
      <c r="C180" s="15"/>
    </row>
    <row r="181" spans="3:3" ht="14.3" customHeight="1" x14ac:dyDescent="0.25">
      <c r="C181" s="15"/>
    </row>
    <row r="182" spans="3:3" ht="14.3" customHeight="1" x14ac:dyDescent="0.25">
      <c r="C182" s="15"/>
    </row>
    <row r="183" spans="3:3" ht="14.3" customHeight="1" x14ac:dyDescent="0.25">
      <c r="C183" s="15"/>
    </row>
    <row r="184" spans="3:3" ht="14.3" customHeight="1" x14ac:dyDescent="0.25">
      <c r="C184" s="15"/>
    </row>
    <row r="185" spans="3:3" ht="14.3" customHeight="1" x14ac:dyDescent="0.25">
      <c r="C185" s="15"/>
    </row>
    <row r="186" spans="3:3" ht="14.3" customHeight="1" x14ac:dyDescent="0.25">
      <c r="C186" s="15"/>
    </row>
    <row r="187" spans="3:3" ht="14.3" customHeight="1" x14ac:dyDescent="0.25">
      <c r="C187" s="15"/>
    </row>
    <row r="188" spans="3:3" ht="14.3" customHeight="1" x14ac:dyDescent="0.25">
      <c r="C188" s="15"/>
    </row>
    <row r="189" spans="3:3" ht="14.3" customHeight="1" x14ac:dyDescent="0.25">
      <c r="C189" s="15"/>
    </row>
    <row r="190" spans="3:3" ht="14.3" customHeight="1" x14ac:dyDescent="0.25">
      <c r="C190" s="15"/>
    </row>
    <row r="191" spans="3:3" ht="14.3" customHeight="1" x14ac:dyDescent="0.25">
      <c r="C191" s="15"/>
    </row>
    <row r="192" spans="3:3" ht="14.3" customHeight="1" x14ac:dyDescent="0.25">
      <c r="C192" s="15"/>
    </row>
    <row r="193" spans="3:3" ht="14.3" customHeight="1" x14ac:dyDescent="0.25">
      <c r="C193" s="15"/>
    </row>
    <row r="194" spans="3:3" ht="14.3" customHeight="1" x14ac:dyDescent="0.25">
      <c r="C194" s="15"/>
    </row>
    <row r="195" spans="3:3" ht="14.3" customHeight="1" x14ac:dyDescent="0.25">
      <c r="C195" s="15"/>
    </row>
    <row r="196" spans="3:3" ht="14.3" customHeight="1" x14ac:dyDescent="0.25">
      <c r="C196" s="15"/>
    </row>
    <row r="197" spans="3:3" ht="14.3" customHeight="1" x14ac:dyDescent="0.25">
      <c r="C197" s="15"/>
    </row>
    <row r="198" spans="3:3" ht="14.3" customHeight="1" x14ac:dyDescent="0.25">
      <c r="C198" s="15"/>
    </row>
    <row r="199" spans="3:3" ht="14.3" customHeight="1" x14ac:dyDescent="0.25">
      <c r="C199" s="15"/>
    </row>
    <row r="200" spans="3:3" ht="14.3" customHeight="1" x14ac:dyDescent="0.25">
      <c r="C200" s="15"/>
    </row>
    <row r="201" spans="3:3" ht="14.3" customHeight="1" x14ac:dyDescent="0.25">
      <c r="C201" s="15"/>
    </row>
    <row r="202" spans="3:3" ht="14.3" customHeight="1" x14ac:dyDescent="0.25">
      <c r="C202" s="15"/>
    </row>
    <row r="203" spans="3:3" ht="14.3" customHeight="1" x14ac:dyDescent="0.25">
      <c r="C203" s="15"/>
    </row>
    <row r="204" spans="3:3" ht="14.3" customHeight="1" x14ac:dyDescent="0.25">
      <c r="C204" s="15"/>
    </row>
    <row r="205" spans="3:3" ht="14.3" customHeight="1" x14ac:dyDescent="0.25">
      <c r="C205" s="15"/>
    </row>
    <row r="206" spans="3:3" ht="14.3" customHeight="1" x14ac:dyDescent="0.25">
      <c r="C206" s="15"/>
    </row>
    <row r="207" spans="3:3" ht="14.3" customHeight="1" x14ac:dyDescent="0.25">
      <c r="C207" s="15"/>
    </row>
    <row r="208" spans="3:3" ht="14.3" customHeight="1" x14ac:dyDescent="0.25">
      <c r="C208" s="15"/>
    </row>
    <row r="209" spans="3:3" ht="14.3" customHeight="1" x14ac:dyDescent="0.25">
      <c r="C209" s="15"/>
    </row>
    <row r="210" spans="3:3" ht="14.3" customHeight="1" x14ac:dyDescent="0.25">
      <c r="C210" s="15"/>
    </row>
    <row r="211" spans="3:3" ht="14.3" customHeight="1" x14ac:dyDescent="0.25">
      <c r="C211" s="15"/>
    </row>
    <row r="212" spans="3:3" ht="14.3" customHeight="1" x14ac:dyDescent="0.25">
      <c r="C212" s="15"/>
    </row>
    <row r="213" spans="3:3" ht="14.3" customHeight="1" x14ac:dyDescent="0.25">
      <c r="C213" s="15"/>
    </row>
    <row r="214" spans="3:3" ht="14.3" customHeight="1" x14ac:dyDescent="0.25">
      <c r="C214" s="15"/>
    </row>
    <row r="215" spans="3:3" ht="14.3" customHeight="1" x14ac:dyDescent="0.25">
      <c r="C215" s="15"/>
    </row>
    <row r="216" spans="3:3" ht="14.3" customHeight="1" x14ac:dyDescent="0.25">
      <c r="C216" s="15"/>
    </row>
    <row r="217" spans="3:3" ht="14.3" customHeight="1" x14ac:dyDescent="0.25">
      <c r="C217" s="15"/>
    </row>
    <row r="218" spans="3:3" ht="14.3" customHeight="1" x14ac:dyDescent="0.25">
      <c r="C218" s="15"/>
    </row>
    <row r="219" spans="3:3" ht="14.3" customHeight="1" x14ac:dyDescent="0.25">
      <c r="C219" s="15"/>
    </row>
    <row r="220" spans="3:3" ht="14.3" customHeight="1" x14ac:dyDescent="0.25">
      <c r="C220" s="15"/>
    </row>
  </sheetData>
  <mergeCells count="33">
    <mergeCell ref="C18:D18"/>
    <mergeCell ref="C19:D19"/>
    <mergeCell ref="C13:D13"/>
    <mergeCell ref="C14:D14"/>
    <mergeCell ref="C15:D15"/>
    <mergeCell ref="C16:D16"/>
    <mergeCell ref="C17:D17"/>
    <mergeCell ref="U7:U8"/>
    <mergeCell ref="C9:D9"/>
    <mergeCell ref="C10:D10"/>
    <mergeCell ref="C11:D11"/>
    <mergeCell ref="C12:D12"/>
    <mergeCell ref="P7:P8"/>
    <mergeCell ref="Q7:Q8"/>
    <mergeCell ref="R7:R8"/>
    <mergeCell ref="S7:S8"/>
    <mergeCell ref="T7:T8"/>
    <mergeCell ref="E2:J2"/>
    <mergeCell ref="C3:O4"/>
    <mergeCell ref="E5:O5"/>
    <mergeCell ref="F6:U6"/>
    <mergeCell ref="B7:B8"/>
    <mergeCell ref="C7:D8"/>
    <mergeCell ref="E7:E8"/>
    <mergeCell ref="F7:F8"/>
    <mergeCell ref="G7:G8"/>
    <mergeCell ref="H7:H8"/>
    <mergeCell ref="I7:I8"/>
    <mergeCell ref="J7:J8"/>
    <mergeCell ref="K7:K8"/>
    <mergeCell ref="M7:M8"/>
    <mergeCell ref="N7:N8"/>
    <mergeCell ref="O7:O8"/>
  </mergeCells>
  <printOptions horizontalCentered="1" verticalCentered="1"/>
  <pageMargins left="0.47013888888888899" right="0.70833333333333304" top="0.74791666666666701" bottom="0.74791666666666701" header="0.511811023622047" footer="0"/>
  <pageSetup paperSize="9" scale="56" orientation="landscape" horizontalDpi="300" verticalDpi="300"/>
  <headerFooter>
    <oddFooter>&amp;LElaborado por: Ing Jenny A Ruiz R, Mónica  Gómez Docentes TC del Departamento de Ciencias de la  Computación IREB PROYECTO DE CHECK LIST  (CASO DE ESTUDIO ACADÉMICO)&amp;C&amp;P de &amp;R&amp;D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43"/>
  <sheetViews>
    <sheetView zoomScaleNormal="100" workbookViewId="0"/>
  </sheetViews>
  <sheetFormatPr baseColWidth="10" defaultColWidth="14.375" defaultRowHeight="14.3" customHeight="1" x14ac:dyDescent="0.25"/>
  <cols>
    <col min="1" max="1" width="10.75" customWidth="1"/>
    <col min="2" max="2" width="36.75" customWidth="1"/>
    <col min="3" max="3" width="26.75" customWidth="1"/>
    <col min="4" max="4" width="20" customWidth="1"/>
    <col min="5" max="24" width="10.75" customWidth="1"/>
  </cols>
  <sheetData>
    <row r="1" spans="1:26" ht="50.3" customHeight="1" x14ac:dyDescent="0.25">
      <c r="A1" s="27"/>
      <c r="B1" s="28" t="s">
        <v>3</v>
      </c>
      <c r="C1" s="7" t="s">
        <v>4</v>
      </c>
      <c r="D1" s="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3" customHeight="1" x14ac:dyDescent="0.35">
      <c r="B2" s="29" t="s">
        <v>41</v>
      </c>
      <c r="C2" s="6">
        <v>46300</v>
      </c>
      <c r="D2" s="6"/>
    </row>
    <row r="3" spans="1:26" ht="17.350000000000001" customHeight="1" x14ac:dyDescent="0.35">
      <c r="B3" s="29" t="s">
        <v>42</v>
      </c>
      <c r="C3" s="5" t="s">
        <v>43</v>
      </c>
      <c r="D3" s="5"/>
    </row>
    <row r="4" spans="1:26" ht="17.350000000000001" customHeight="1" x14ac:dyDescent="0.35">
      <c r="B4" s="29" t="s">
        <v>44</v>
      </c>
      <c r="C4" s="5" t="s">
        <v>9</v>
      </c>
      <c r="D4" s="5"/>
    </row>
    <row r="6" spans="1:26" ht="14.3" customHeight="1" x14ac:dyDescent="0.25">
      <c r="A6" s="4" t="s">
        <v>45</v>
      </c>
      <c r="B6" s="4"/>
      <c r="C6" s="4"/>
      <c r="D6" s="4"/>
    </row>
    <row r="7" spans="1:26" ht="14.3" customHeight="1" x14ac:dyDescent="0.25">
      <c r="A7" s="30" t="s">
        <v>46</v>
      </c>
      <c r="B7" s="31" t="s">
        <v>47</v>
      </c>
      <c r="C7" s="31" t="s">
        <v>48</v>
      </c>
      <c r="D7" s="32" t="s">
        <v>49</v>
      </c>
    </row>
    <row r="8" spans="1:26" ht="14.3" customHeight="1" x14ac:dyDescent="0.25">
      <c r="A8" s="33">
        <v>1</v>
      </c>
      <c r="B8" s="34" t="s">
        <v>50</v>
      </c>
      <c r="C8" s="35" t="s">
        <v>51</v>
      </c>
      <c r="D8" s="36"/>
    </row>
    <row r="9" spans="1:26" ht="14.3" customHeight="1" x14ac:dyDescent="0.25">
      <c r="A9" s="33">
        <v>2</v>
      </c>
      <c r="B9" s="34" t="s">
        <v>52</v>
      </c>
      <c r="C9" s="35" t="s">
        <v>51</v>
      </c>
      <c r="D9" s="36"/>
    </row>
    <row r="10" spans="1:26" ht="14.3" customHeight="1" x14ac:dyDescent="0.25">
      <c r="A10" s="33">
        <v>3</v>
      </c>
      <c r="B10" s="34" t="s">
        <v>53</v>
      </c>
      <c r="C10" s="35" t="s">
        <v>51</v>
      </c>
      <c r="D10" s="36"/>
    </row>
    <row r="11" spans="1:26" ht="14.3" customHeight="1" x14ac:dyDescent="0.25">
      <c r="A11" s="33">
        <v>4</v>
      </c>
      <c r="B11" s="34" t="s">
        <v>54</v>
      </c>
      <c r="C11" s="35" t="s">
        <v>51</v>
      </c>
      <c r="D11" s="36"/>
    </row>
    <row r="12" spans="1:26" ht="14.3" customHeight="1" x14ac:dyDescent="0.25">
      <c r="A12" s="33">
        <v>5</v>
      </c>
      <c r="B12" s="34" t="s">
        <v>55</v>
      </c>
      <c r="C12" s="35" t="s">
        <v>51</v>
      </c>
      <c r="D12" s="36"/>
    </row>
    <row r="13" spans="1:26" ht="14.3" customHeight="1" x14ac:dyDescent="0.25">
      <c r="A13" s="33">
        <v>6</v>
      </c>
      <c r="B13" s="34" t="s">
        <v>56</v>
      </c>
      <c r="C13" s="35" t="s">
        <v>51</v>
      </c>
      <c r="D13" s="36"/>
    </row>
    <row r="14" spans="1:26" ht="14.3" customHeight="1" x14ac:dyDescent="0.25">
      <c r="A14" s="33">
        <v>7</v>
      </c>
      <c r="B14" s="34" t="s">
        <v>57</v>
      </c>
      <c r="C14" s="36" t="s">
        <v>51</v>
      </c>
      <c r="D14" s="35"/>
    </row>
    <row r="15" spans="1:26" ht="14.3" customHeight="1" x14ac:dyDescent="0.25">
      <c r="A15" s="33">
        <v>8</v>
      </c>
      <c r="B15" s="34" t="s">
        <v>58</v>
      </c>
      <c r="C15" s="35" t="s">
        <v>51</v>
      </c>
      <c r="D15" s="36"/>
    </row>
    <row r="16" spans="1:26" ht="14.3" customHeight="1" x14ac:dyDescent="0.25">
      <c r="A16" s="37">
        <v>9</v>
      </c>
      <c r="B16" s="38" t="s">
        <v>59</v>
      </c>
      <c r="C16" s="39"/>
      <c r="D16" s="39" t="s">
        <v>51</v>
      </c>
    </row>
    <row r="17" spans="1:4" ht="14.3" customHeight="1" x14ac:dyDescent="0.25">
      <c r="A17" s="3" t="s">
        <v>60</v>
      </c>
      <c r="B17" s="3"/>
      <c r="C17">
        <f>COUNTA('LISTA DE COMPROBACION - CU0-0'!$C$8:$C$16)</f>
        <v>8</v>
      </c>
      <c r="D17">
        <f>COUNTA('LISTA DE COMPROBACION - CU0-0'!$D$8:$D$16)</f>
        <v>1</v>
      </c>
    </row>
    <row r="18" spans="1:4" ht="14.3" customHeight="1" x14ac:dyDescent="0.25">
      <c r="A18" s="3" t="s">
        <v>61</v>
      </c>
      <c r="B18" s="3"/>
      <c r="C18" s="41">
        <f>C17/9</f>
        <v>0.88888888888888884</v>
      </c>
      <c r="D18" s="41">
        <f>D17/9</f>
        <v>0.1111111111111111</v>
      </c>
    </row>
    <row r="19" spans="1:4" ht="14.3" customHeight="1" x14ac:dyDescent="0.25">
      <c r="A19" s="40"/>
      <c r="B19" s="40"/>
      <c r="C19" s="41"/>
    </row>
    <row r="20" spans="1:4" ht="14.3" customHeight="1" x14ac:dyDescent="0.25">
      <c r="A20" s="2" t="s">
        <v>62</v>
      </c>
      <c r="B20" s="2"/>
      <c r="C20" s="2"/>
      <c r="D20" s="2"/>
    </row>
    <row r="21" spans="1:4" ht="15.8" customHeight="1" x14ac:dyDescent="0.25">
      <c r="A21" s="42" t="s">
        <v>46</v>
      </c>
      <c r="B21" s="43" t="s">
        <v>47</v>
      </c>
      <c r="C21" s="44" t="s">
        <v>48</v>
      </c>
      <c r="D21" s="45" t="s">
        <v>49</v>
      </c>
    </row>
    <row r="22" spans="1:4" ht="15.8" customHeight="1" x14ac:dyDescent="0.25">
      <c r="A22" s="33">
        <v>1</v>
      </c>
      <c r="B22" s="34" t="s">
        <v>63</v>
      </c>
      <c r="C22" s="39" t="s">
        <v>51</v>
      </c>
      <c r="D22" s="36"/>
    </row>
    <row r="23" spans="1:4" ht="15.8" customHeight="1" x14ac:dyDescent="0.25">
      <c r="A23" s="33">
        <v>2</v>
      </c>
      <c r="B23" s="34" t="s">
        <v>64</v>
      </c>
      <c r="C23" s="39" t="s">
        <v>51</v>
      </c>
      <c r="D23" s="36"/>
    </row>
    <row r="24" spans="1:4" ht="15.8" customHeight="1" x14ac:dyDescent="0.25">
      <c r="A24" s="33">
        <v>3</v>
      </c>
      <c r="B24" s="34" t="s">
        <v>65</v>
      </c>
      <c r="C24" s="39" t="s">
        <v>51</v>
      </c>
      <c r="D24" s="36"/>
    </row>
    <row r="25" spans="1:4" ht="15.8" customHeight="1" x14ac:dyDescent="0.25">
      <c r="A25" s="33">
        <v>4</v>
      </c>
      <c r="B25" s="34" t="s">
        <v>66</v>
      </c>
      <c r="C25" s="39" t="s">
        <v>51</v>
      </c>
      <c r="D25" s="36"/>
    </row>
    <row r="26" spans="1:4" ht="15.8" customHeight="1" x14ac:dyDescent="0.25">
      <c r="A26" s="37">
        <v>5</v>
      </c>
      <c r="B26" s="38" t="s">
        <v>67</v>
      </c>
      <c r="C26" s="39" t="s">
        <v>51</v>
      </c>
      <c r="D26" s="46"/>
    </row>
    <row r="27" spans="1:4" ht="15.8" customHeight="1" x14ac:dyDescent="0.25">
      <c r="A27" s="3" t="s">
        <v>60</v>
      </c>
      <c r="B27" s="3"/>
      <c r="C27">
        <f>COUNTA('LISTA DE COMPROBACION - CU0-0'!$C$22:$C$26)</f>
        <v>5</v>
      </c>
      <c r="D27">
        <f>COUNTA('LISTA DE COMPROBACION - CU0-0'!$D$22:$D$26)</f>
        <v>0</v>
      </c>
    </row>
    <row r="28" spans="1:4" ht="15.8" customHeight="1" x14ac:dyDescent="0.25">
      <c r="A28" s="3" t="s">
        <v>61</v>
      </c>
      <c r="B28" s="3"/>
      <c r="C28" s="41">
        <f>C27/5</f>
        <v>1</v>
      </c>
      <c r="D28" s="41">
        <f>D27/5</f>
        <v>0</v>
      </c>
    </row>
    <row r="29" spans="1:4" ht="15.8" customHeight="1" x14ac:dyDescent="0.25">
      <c r="A29" s="40"/>
      <c r="B29" s="40"/>
      <c r="C29" s="41"/>
    </row>
    <row r="30" spans="1:4" ht="15.8" customHeight="1" x14ac:dyDescent="0.25">
      <c r="A30" s="4" t="s">
        <v>68</v>
      </c>
      <c r="B30" s="4"/>
      <c r="C30" s="4"/>
      <c r="D30" s="4"/>
    </row>
    <row r="31" spans="1:4" ht="15.8" customHeight="1" x14ac:dyDescent="0.25">
      <c r="A31" s="42" t="s">
        <v>46</v>
      </c>
      <c r="B31" s="43" t="s">
        <v>47</v>
      </c>
      <c r="C31" s="44" t="s">
        <v>48</v>
      </c>
      <c r="D31" s="45" t="s">
        <v>49</v>
      </c>
    </row>
    <row r="32" spans="1:4" ht="15.8" customHeight="1" x14ac:dyDescent="0.25">
      <c r="A32" s="33">
        <v>1</v>
      </c>
      <c r="B32" s="34" t="s">
        <v>69</v>
      </c>
      <c r="C32" s="39" t="s">
        <v>51</v>
      </c>
      <c r="D32" s="39"/>
    </row>
    <row r="33" spans="1:4" ht="15.8" customHeight="1" x14ac:dyDescent="0.25">
      <c r="A33" s="33">
        <v>2</v>
      </c>
      <c r="B33" s="34" t="s">
        <v>70</v>
      </c>
      <c r="C33" s="39" t="s">
        <v>51</v>
      </c>
      <c r="D33" s="39"/>
    </row>
    <row r="34" spans="1:4" ht="15.8" customHeight="1" x14ac:dyDescent="0.25">
      <c r="A34" s="37">
        <v>3</v>
      </c>
      <c r="B34" s="38" t="s">
        <v>71</v>
      </c>
      <c r="C34" s="39" t="s">
        <v>51</v>
      </c>
      <c r="D34" s="39"/>
    </row>
    <row r="35" spans="1:4" ht="15.8" customHeight="1" x14ac:dyDescent="0.25">
      <c r="A35" s="3" t="s">
        <v>60</v>
      </c>
      <c r="B35" s="3"/>
      <c r="C35">
        <f>COUNTA('LISTA DE COMPROBACION - CU0-0'!$C$32:$C$34)</f>
        <v>3</v>
      </c>
      <c r="D35">
        <f>COUNTA('LISTA DE COMPROBACION - CU0-0'!$D$32:$D$34)</f>
        <v>0</v>
      </c>
    </row>
    <row r="36" spans="1:4" ht="15.8" customHeight="1" x14ac:dyDescent="0.25">
      <c r="A36" s="3" t="s">
        <v>61</v>
      </c>
      <c r="B36" s="3"/>
      <c r="C36" s="41">
        <f>C35/3</f>
        <v>1</v>
      </c>
      <c r="D36" s="41">
        <f>D35/3</f>
        <v>0</v>
      </c>
    </row>
    <row r="40" spans="1:4" ht="15.8" customHeight="1" x14ac:dyDescent="0.35">
      <c r="A40" s="1" t="s">
        <v>72</v>
      </c>
      <c r="B40" s="1"/>
      <c r="C40" s="1"/>
    </row>
    <row r="41" spans="1:4" ht="15.8" customHeight="1" x14ac:dyDescent="0.25">
      <c r="B41" s="27" t="s">
        <v>73</v>
      </c>
      <c r="C41">
        <v>89</v>
      </c>
    </row>
    <row r="42" spans="1:4" ht="15.8" customHeight="1" x14ac:dyDescent="0.25">
      <c r="B42" s="27" t="s">
        <v>62</v>
      </c>
      <c r="C42">
        <v>100</v>
      </c>
    </row>
    <row r="43" spans="1:4" ht="15.8" customHeight="1" x14ac:dyDescent="0.25">
      <c r="B43" s="27" t="s">
        <v>68</v>
      </c>
      <c r="C43">
        <v>100</v>
      </c>
    </row>
  </sheetData>
  <mergeCells count="14">
    <mergeCell ref="A30:D30"/>
    <mergeCell ref="A35:B35"/>
    <mergeCell ref="A36:B36"/>
    <mergeCell ref="A40:C40"/>
    <mergeCell ref="A17:B17"/>
    <mergeCell ref="A18:B18"/>
    <mergeCell ref="A20:D20"/>
    <mergeCell ref="A27:B27"/>
    <mergeCell ref="A28:B28"/>
    <mergeCell ref="C1:D1"/>
    <mergeCell ref="C2:D2"/>
    <mergeCell ref="C3:D3"/>
    <mergeCell ref="C4:D4"/>
    <mergeCell ref="A6:D6"/>
  </mergeCells>
  <conditionalFormatting sqref="A32:D34">
    <cfRule type="containsText" dxfId="120" priority="2" operator="containsText" text="X">
      <formula>NOT(ISERROR(SEARCH("X",A32)))</formula>
    </cfRule>
  </conditionalFormatting>
  <conditionalFormatting sqref="C22:C26 C8:D16 C32:D34">
    <cfRule type="containsText" dxfId="119" priority="8" operator="containsText" text="X">
      <formula>NOT(ISERROR(SEARCH("X",C8)))</formula>
    </cfRule>
  </conditionalFormatting>
  <conditionalFormatting sqref="C8:D16 C22:C26 C32:D34">
    <cfRule type="containsText" dxfId="118" priority="3" operator="containsText" text="X">
      <formula>NOT(ISERROR(SEARCH("X",C8)))</formula>
    </cfRule>
    <cfRule type="containsText" dxfId="117" priority="4" operator="containsText" text="X">
      <formula>NOT(ISERROR(SEARCH("X",C8)))</formula>
    </cfRule>
    <cfRule type="containsText" dxfId="116" priority="5" operator="containsText" text="X">
      <formula>NOT(ISERROR(SEARCH("X",C8)))</formula>
    </cfRule>
  </conditionalFormatting>
  <conditionalFormatting sqref="C22:D26">
    <cfRule type="containsText" dxfId="115" priority="6" operator="containsText" text="X">
      <formula>NOT(ISERROR(SEARCH("X",C22)))</formula>
    </cfRule>
    <cfRule type="containsText" dxfId="114" priority="7" operator="containsText" text="X">
      <formula>NOT(ISERROR(SEARCH("X",C22)))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43"/>
  <sheetViews>
    <sheetView zoomScaleNormal="100" workbookViewId="0">
      <selection activeCell="C13" sqref="C13"/>
    </sheetView>
  </sheetViews>
  <sheetFormatPr baseColWidth="10" defaultColWidth="14.375" defaultRowHeight="14.3" customHeight="1" x14ac:dyDescent="0.25"/>
  <cols>
    <col min="1" max="1" width="10.75" customWidth="1"/>
    <col min="2" max="2" width="36.75" customWidth="1"/>
    <col min="3" max="3" width="26.75" customWidth="1"/>
    <col min="4" max="4" width="20" customWidth="1"/>
    <col min="5" max="24" width="10.75" customWidth="1"/>
  </cols>
  <sheetData>
    <row r="1" spans="1:26" ht="50.3" customHeight="1" x14ac:dyDescent="0.25">
      <c r="A1" s="27"/>
      <c r="B1" s="28" t="s">
        <v>3</v>
      </c>
      <c r="C1" s="7" t="s">
        <v>4</v>
      </c>
      <c r="D1" s="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3" customHeight="1" x14ac:dyDescent="0.35">
      <c r="B2" s="29" t="s">
        <v>41</v>
      </c>
      <c r="C2" s="6">
        <v>46300</v>
      </c>
      <c r="D2" s="6"/>
    </row>
    <row r="3" spans="1:26" ht="17.350000000000001" customHeight="1" x14ac:dyDescent="0.35">
      <c r="B3" s="29" t="s">
        <v>42</v>
      </c>
      <c r="C3" s="5" t="s">
        <v>43</v>
      </c>
      <c r="D3" s="5"/>
    </row>
    <row r="4" spans="1:26" ht="17.350000000000001" customHeight="1" x14ac:dyDescent="0.35">
      <c r="B4" s="29" t="s">
        <v>44</v>
      </c>
      <c r="C4" s="5" t="s">
        <v>10</v>
      </c>
      <c r="D4" s="5"/>
    </row>
    <row r="6" spans="1:26" ht="14.3" customHeight="1" x14ac:dyDescent="0.25">
      <c r="A6" s="4" t="s">
        <v>45</v>
      </c>
      <c r="B6" s="4"/>
      <c r="C6" s="4"/>
      <c r="D6" s="4"/>
    </row>
    <row r="7" spans="1:26" ht="14.3" customHeight="1" x14ac:dyDescent="0.25">
      <c r="A7" s="30" t="s">
        <v>46</v>
      </c>
      <c r="B7" s="31" t="s">
        <v>47</v>
      </c>
      <c r="C7" s="31" t="s">
        <v>48</v>
      </c>
      <c r="D7" s="32" t="s">
        <v>49</v>
      </c>
    </row>
    <row r="8" spans="1:26" ht="14.3" customHeight="1" x14ac:dyDescent="0.25">
      <c r="A8" s="33">
        <v>1</v>
      </c>
      <c r="B8" s="34" t="s">
        <v>50</v>
      </c>
      <c r="C8" s="35" t="s">
        <v>51</v>
      </c>
      <c r="D8" s="36"/>
    </row>
    <row r="9" spans="1:26" ht="14.3" customHeight="1" x14ac:dyDescent="0.25">
      <c r="A9" s="33">
        <v>2</v>
      </c>
      <c r="B9" s="34" t="s">
        <v>52</v>
      </c>
      <c r="C9" s="35" t="s">
        <v>51</v>
      </c>
      <c r="D9" s="36"/>
    </row>
    <row r="10" spans="1:26" ht="14.3" customHeight="1" x14ac:dyDescent="0.25">
      <c r="A10" s="33">
        <v>3</v>
      </c>
      <c r="B10" s="34" t="s">
        <v>53</v>
      </c>
      <c r="C10" s="35" t="s">
        <v>51</v>
      </c>
      <c r="D10" s="36"/>
    </row>
    <row r="11" spans="1:26" ht="14.3" customHeight="1" x14ac:dyDescent="0.25">
      <c r="A11" s="33">
        <v>4</v>
      </c>
      <c r="B11" s="34" t="s">
        <v>54</v>
      </c>
      <c r="C11" s="35" t="s">
        <v>51</v>
      </c>
      <c r="D11" s="36"/>
    </row>
    <row r="12" spans="1:26" ht="14.3" customHeight="1" x14ac:dyDescent="0.25">
      <c r="A12" s="33">
        <v>5</v>
      </c>
      <c r="B12" s="34" t="s">
        <v>55</v>
      </c>
      <c r="C12" s="35" t="s">
        <v>51</v>
      </c>
      <c r="D12" s="36"/>
    </row>
    <row r="13" spans="1:26" ht="14.3" customHeight="1" x14ac:dyDescent="0.25">
      <c r="A13" s="33">
        <v>6</v>
      </c>
      <c r="B13" s="34" t="s">
        <v>56</v>
      </c>
      <c r="C13" s="35" t="s">
        <v>51</v>
      </c>
      <c r="D13" s="36"/>
    </row>
    <row r="14" spans="1:26" ht="14.3" customHeight="1" x14ac:dyDescent="0.25">
      <c r="A14" s="33">
        <v>7</v>
      </c>
      <c r="B14" s="34" t="s">
        <v>57</v>
      </c>
      <c r="C14" s="35" t="s">
        <v>51</v>
      </c>
      <c r="D14" s="35"/>
    </row>
    <row r="15" spans="1:26" ht="14.3" customHeight="1" x14ac:dyDescent="0.25">
      <c r="A15" s="33">
        <v>8</v>
      </c>
      <c r="B15" s="34" t="s">
        <v>58</v>
      </c>
      <c r="C15" s="35" t="s">
        <v>51</v>
      </c>
      <c r="D15" s="36"/>
    </row>
    <row r="16" spans="1:26" ht="14.3" customHeight="1" x14ac:dyDescent="0.25">
      <c r="A16" s="37">
        <v>9</v>
      </c>
      <c r="B16" s="38" t="s">
        <v>59</v>
      </c>
      <c r="C16" s="39"/>
      <c r="D16" s="39" t="s">
        <v>51</v>
      </c>
    </row>
    <row r="17" spans="1:4" ht="14.3" customHeight="1" x14ac:dyDescent="0.25">
      <c r="A17" s="3" t="s">
        <v>60</v>
      </c>
      <c r="B17" s="3"/>
      <c r="C17">
        <f>COUNTA('LISTA DE COMPROBACION - CU0-1'!$C$8:$C$16)</f>
        <v>8</v>
      </c>
      <c r="D17">
        <f>COUNTA('LISTA DE COMPROBACION - CU0-1'!$D$8:$D$16)</f>
        <v>1</v>
      </c>
    </row>
    <row r="18" spans="1:4" ht="14.3" customHeight="1" x14ac:dyDescent="0.25">
      <c r="A18" s="3" t="s">
        <v>61</v>
      </c>
      <c r="B18" s="3"/>
      <c r="C18" s="41">
        <f>C17/9</f>
        <v>0.88888888888888884</v>
      </c>
      <c r="D18" s="41">
        <f>D17/9</f>
        <v>0.1111111111111111</v>
      </c>
    </row>
    <row r="19" spans="1:4" ht="14.3" customHeight="1" x14ac:dyDescent="0.25">
      <c r="A19" s="40"/>
      <c r="B19" s="40"/>
      <c r="C19" s="41"/>
    </row>
    <row r="20" spans="1:4" ht="14.3" customHeight="1" x14ac:dyDescent="0.25">
      <c r="A20" s="2" t="s">
        <v>62</v>
      </c>
      <c r="B20" s="2"/>
      <c r="C20" s="2"/>
      <c r="D20" s="2"/>
    </row>
    <row r="21" spans="1:4" ht="15.8" customHeight="1" x14ac:dyDescent="0.25">
      <c r="A21" s="42" t="s">
        <v>46</v>
      </c>
      <c r="B21" s="43" t="s">
        <v>47</v>
      </c>
      <c r="C21" s="44" t="s">
        <v>48</v>
      </c>
      <c r="D21" s="45" t="s">
        <v>49</v>
      </c>
    </row>
    <row r="22" spans="1:4" ht="15.8" customHeight="1" x14ac:dyDescent="0.25">
      <c r="A22" s="33">
        <v>1</v>
      </c>
      <c r="B22" s="34" t="s">
        <v>63</v>
      </c>
      <c r="C22" s="39" t="s">
        <v>51</v>
      </c>
      <c r="D22" s="36"/>
    </row>
    <row r="23" spans="1:4" ht="15.8" customHeight="1" x14ac:dyDescent="0.25">
      <c r="A23" s="33">
        <v>2</v>
      </c>
      <c r="B23" s="34" t="s">
        <v>64</v>
      </c>
      <c r="C23" s="39" t="s">
        <v>51</v>
      </c>
      <c r="D23" s="36"/>
    </row>
    <row r="24" spans="1:4" ht="15.8" customHeight="1" x14ac:dyDescent="0.25">
      <c r="A24" s="33">
        <v>3</v>
      </c>
      <c r="B24" s="34" t="s">
        <v>65</v>
      </c>
      <c r="C24" s="39" t="s">
        <v>51</v>
      </c>
      <c r="D24" s="36"/>
    </row>
    <row r="25" spans="1:4" ht="15.8" customHeight="1" x14ac:dyDescent="0.25">
      <c r="A25" s="33">
        <v>4</v>
      </c>
      <c r="B25" s="34" t="s">
        <v>66</v>
      </c>
      <c r="C25" s="39" t="s">
        <v>51</v>
      </c>
      <c r="D25" s="36"/>
    </row>
    <row r="26" spans="1:4" ht="15.8" customHeight="1" x14ac:dyDescent="0.25">
      <c r="A26" s="37">
        <v>5</v>
      </c>
      <c r="B26" s="38" t="s">
        <v>67</v>
      </c>
      <c r="C26" s="39" t="s">
        <v>51</v>
      </c>
      <c r="D26" s="46"/>
    </row>
    <row r="27" spans="1:4" ht="15.8" customHeight="1" x14ac:dyDescent="0.25">
      <c r="A27" s="3" t="s">
        <v>60</v>
      </c>
      <c r="B27" s="3"/>
      <c r="C27">
        <f>COUNTA('LISTA DE COMPROBACION - CU0-1'!$C$22:$C$26)</f>
        <v>5</v>
      </c>
      <c r="D27">
        <f>COUNTA('LISTA DE COMPROBACION - CU0-1'!$D$22:$D$26)</f>
        <v>0</v>
      </c>
    </row>
    <row r="28" spans="1:4" ht="15.8" customHeight="1" x14ac:dyDescent="0.25">
      <c r="A28" s="3" t="s">
        <v>61</v>
      </c>
      <c r="B28" s="3"/>
      <c r="C28" s="41">
        <f>C27/5</f>
        <v>1</v>
      </c>
      <c r="D28" s="41">
        <f>D27/5</f>
        <v>0</v>
      </c>
    </row>
    <row r="29" spans="1:4" ht="15.8" customHeight="1" x14ac:dyDescent="0.25">
      <c r="A29" s="40"/>
      <c r="B29" s="40"/>
      <c r="C29" s="41"/>
    </row>
    <row r="30" spans="1:4" ht="15.8" customHeight="1" x14ac:dyDescent="0.25">
      <c r="A30" s="4" t="s">
        <v>68</v>
      </c>
      <c r="B30" s="4"/>
      <c r="C30" s="4"/>
      <c r="D30" s="4"/>
    </row>
    <row r="31" spans="1:4" ht="15.8" customHeight="1" x14ac:dyDescent="0.25">
      <c r="A31" s="42" t="s">
        <v>46</v>
      </c>
      <c r="B31" s="43" t="s">
        <v>47</v>
      </c>
      <c r="C31" s="44" t="s">
        <v>48</v>
      </c>
      <c r="D31" s="45" t="s">
        <v>49</v>
      </c>
    </row>
    <row r="32" spans="1:4" ht="15.8" customHeight="1" x14ac:dyDescent="0.25">
      <c r="A32" s="33">
        <v>1</v>
      </c>
      <c r="B32" s="34" t="s">
        <v>69</v>
      </c>
      <c r="C32" s="39" t="s">
        <v>51</v>
      </c>
      <c r="D32" s="39"/>
    </row>
    <row r="33" spans="1:4" ht="15.8" customHeight="1" x14ac:dyDescent="0.25">
      <c r="A33" s="33">
        <v>2</v>
      </c>
      <c r="B33" s="34" t="s">
        <v>70</v>
      </c>
      <c r="C33" s="39" t="s">
        <v>51</v>
      </c>
      <c r="D33" s="39"/>
    </row>
    <row r="34" spans="1:4" ht="15.8" customHeight="1" x14ac:dyDescent="0.25">
      <c r="A34" s="37">
        <v>3</v>
      </c>
      <c r="B34" s="38" t="s">
        <v>71</v>
      </c>
      <c r="C34" s="39" t="s">
        <v>51</v>
      </c>
      <c r="D34" s="39"/>
    </row>
    <row r="35" spans="1:4" ht="15.8" customHeight="1" x14ac:dyDescent="0.25">
      <c r="A35" s="3" t="s">
        <v>60</v>
      </c>
      <c r="B35" s="3"/>
      <c r="C35">
        <f>COUNTA('LISTA DE COMPROBACION - CU0-1'!$C$32:$C$34)</f>
        <v>3</v>
      </c>
      <c r="D35">
        <f>COUNTA('LISTA DE COMPROBACION - CU0-1'!$D$32:$D$34)</f>
        <v>0</v>
      </c>
    </row>
    <row r="36" spans="1:4" ht="15.8" customHeight="1" x14ac:dyDescent="0.25">
      <c r="A36" s="3" t="s">
        <v>61</v>
      </c>
      <c r="B36" s="3"/>
      <c r="C36" s="41">
        <f>C35/3</f>
        <v>1</v>
      </c>
      <c r="D36" s="41">
        <f>D35/3</f>
        <v>0</v>
      </c>
    </row>
    <row r="40" spans="1:4" ht="15.8" customHeight="1" x14ac:dyDescent="0.35">
      <c r="A40" s="1" t="s">
        <v>72</v>
      </c>
      <c r="B40" s="1"/>
      <c r="C40" s="1"/>
    </row>
    <row r="41" spans="1:4" ht="15.8" customHeight="1" x14ac:dyDescent="0.25">
      <c r="B41" s="27" t="s">
        <v>73</v>
      </c>
      <c r="C41">
        <v>89</v>
      </c>
    </row>
    <row r="42" spans="1:4" ht="15.8" customHeight="1" x14ac:dyDescent="0.25">
      <c r="B42" s="27" t="s">
        <v>62</v>
      </c>
      <c r="C42">
        <v>100</v>
      </c>
    </row>
    <row r="43" spans="1:4" ht="15.8" customHeight="1" x14ac:dyDescent="0.25">
      <c r="B43" s="27" t="s">
        <v>68</v>
      </c>
      <c r="C43">
        <v>100</v>
      </c>
    </row>
  </sheetData>
  <mergeCells count="14">
    <mergeCell ref="A30:D30"/>
    <mergeCell ref="A35:B35"/>
    <mergeCell ref="A36:B36"/>
    <mergeCell ref="A40:C40"/>
    <mergeCell ref="A17:B17"/>
    <mergeCell ref="A18:B18"/>
    <mergeCell ref="A20:D20"/>
    <mergeCell ref="A27:B27"/>
    <mergeCell ref="A28:B28"/>
    <mergeCell ref="C1:D1"/>
    <mergeCell ref="C2:D2"/>
    <mergeCell ref="C3:D3"/>
    <mergeCell ref="C4:D4"/>
    <mergeCell ref="A6:D6"/>
  </mergeCells>
  <conditionalFormatting sqref="A32:D34">
    <cfRule type="containsText" dxfId="113" priority="2" operator="containsText" text="X">
      <formula>NOT(ISERROR(SEARCH("X",A32)))</formula>
    </cfRule>
  </conditionalFormatting>
  <conditionalFormatting sqref="C22:C26 C8:D16 C32:D34">
    <cfRule type="containsText" dxfId="112" priority="8" operator="containsText" text="X">
      <formula>NOT(ISERROR(SEARCH("X",C8)))</formula>
    </cfRule>
  </conditionalFormatting>
  <conditionalFormatting sqref="C8:D16 C22:C26 C32:D34">
    <cfRule type="containsText" dxfId="111" priority="3" operator="containsText" text="X">
      <formula>NOT(ISERROR(SEARCH("X",C8)))</formula>
    </cfRule>
    <cfRule type="containsText" dxfId="110" priority="4" operator="containsText" text="X">
      <formula>NOT(ISERROR(SEARCH("X",C8)))</formula>
    </cfRule>
    <cfRule type="containsText" dxfId="109" priority="5" operator="containsText" text="X">
      <formula>NOT(ISERROR(SEARCH("X",C8)))</formula>
    </cfRule>
  </conditionalFormatting>
  <conditionalFormatting sqref="C22:D26">
    <cfRule type="containsText" dxfId="108" priority="6" operator="containsText" text="X">
      <formula>NOT(ISERROR(SEARCH("X",C22)))</formula>
    </cfRule>
    <cfRule type="containsText" dxfId="107" priority="7" operator="containsText" text="X">
      <formula>NOT(ISERROR(SEARCH("X",C22)))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43"/>
  <sheetViews>
    <sheetView topLeftCell="A25" zoomScaleNormal="100" workbookViewId="0">
      <selection activeCell="C14" sqref="C14"/>
    </sheetView>
  </sheetViews>
  <sheetFormatPr baseColWidth="10" defaultColWidth="14.375" defaultRowHeight="14.3" customHeight="1" x14ac:dyDescent="0.25"/>
  <cols>
    <col min="1" max="1" width="10.75" customWidth="1"/>
    <col min="2" max="2" width="50" customWidth="1"/>
    <col min="3" max="3" width="45.625" customWidth="1"/>
    <col min="4" max="24" width="10.75" customWidth="1"/>
  </cols>
  <sheetData>
    <row r="1" spans="1:26" ht="50.3" customHeight="1" x14ac:dyDescent="0.25">
      <c r="A1" s="27"/>
      <c r="B1" s="28" t="s">
        <v>3</v>
      </c>
      <c r="C1" s="7" t="s">
        <v>4</v>
      </c>
      <c r="D1" s="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29.25" customHeight="1" x14ac:dyDescent="0.35">
      <c r="B2" s="29" t="s">
        <v>41</v>
      </c>
      <c r="C2" s="6">
        <v>46306</v>
      </c>
      <c r="D2" s="6"/>
    </row>
    <row r="3" spans="1:26" ht="23.3" customHeight="1" x14ac:dyDescent="0.35">
      <c r="B3" s="29" t="s">
        <v>42</v>
      </c>
      <c r="C3" s="5" t="s">
        <v>74</v>
      </c>
      <c r="D3" s="5"/>
    </row>
    <row r="4" spans="1:26" ht="21.1" customHeight="1" x14ac:dyDescent="0.35">
      <c r="B4" s="29" t="s">
        <v>44</v>
      </c>
      <c r="C4" s="5" t="s">
        <v>11</v>
      </c>
      <c r="D4" s="5"/>
    </row>
    <row r="6" spans="1:26" ht="41.3" customHeight="1" x14ac:dyDescent="0.25">
      <c r="A6" s="4" t="s">
        <v>45</v>
      </c>
      <c r="B6" s="4"/>
      <c r="C6" s="4"/>
      <c r="D6" s="4"/>
    </row>
    <row r="7" spans="1:26" ht="14.3" customHeight="1" x14ac:dyDescent="0.25">
      <c r="A7" s="30" t="s">
        <v>46</v>
      </c>
      <c r="B7" s="31" t="s">
        <v>47</v>
      </c>
      <c r="C7" s="31" t="s">
        <v>48</v>
      </c>
      <c r="D7" s="32" t="s">
        <v>49</v>
      </c>
    </row>
    <row r="8" spans="1:26" ht="14.3" customHeight="1" x14ac:dyDescent="0.25">
      <c r="A8" s="33">
        <v>1</v>
      </c>
      <c r="B8" s="34" t="s">
        <v>50</v>
      </c>
      <c r="C8" s="35" t="s">
        <v>51</v>
      </c>
      <c r="D8" s="36"/>
    </row>
    <row r="9" spans="1:26" ht="14.3" customHeight="1" x14ac:dyDescent="0.25">
      <c r="A9" s="33">
        <v>2</v>
      </c>
      <c r="B9" s="34" t="s">
        <v>52</v>
      </c>
      <c r="C9" s="35" t="s">
        <v>51</v>
      </c>
      <c r="D9" s="36"/>
    </row>
    <row r="10" spans="1:26" ht="14.3" customHeight="1" x14ac:dyDescent="0.25">
      <c r="A10" s="33">
        <v>3</v>
      </c>
      <c r="B10" s="34" t="s">
        <v>53</v>
      </c>
      <c r="C10" s="35" t="s">
        <v>51</v>
      </c>
      <c r="D10" s="36"/>
    </row>
    <row r="11" spans="1:26" ht="14.3" customHeight="1" x14ac:dyDescent="0.25">
      <c r="A11" s="33">
        <v>4</v>
      </c>
      <c r="B11" s="34" t="s">
        <v>54</v>
      </c>
      <c r="C11" s="35" t="s">
        <v>51</v>
      </c>
      <c r="D11" s="36"/>
    </row>
    <row r="12" spans="1:26" ht="14.3" customHeight="1" x14ac:dyDescent="0.25">
      <c r="A12" s="33">
        <v>5</v>
      </c>
      <c r="B12" s="34" t="s">
        <v>55</v>
      </c>
      <c r="C12" s="35" t="s">
        <v>51</v>
      </c>
      <c r="D12" s="36"/>
    </row>
    <row r="13" spans="1:26" ht="14.3" customHeight="1" x14ac:dyDescent="0.25">
      <c r="A13" s="33">
        <v>6</v>
      </c>
      <c r="B13" s="34" t="s">
        <v>56</v>
      </c>
      <c r="C13" s="35" t="s">
        <v>51</v>
      </c>
      <c r="D13" s="36"/>
    </row>
    <row r="14" spans="1:26" ht="14.3" customHeight="1" x14ac:dyDescent="0.25">
      <c r="A14" s="33">
        <v>7</v>
      </c>
      <c r="B14" s="34" t="s">
        <v>57</v>
      </c>
      <c r="C14" s="35" t="s">
        <v>51</v>
      </c>
      <c r="D14" s="35"/>
    </row>
    <row r="15" spans="1:26" ht="14.3" customHeight="1" x14ac:dyDescent="0.25">
      <c r="A15" s="33">
        <v>8</v>
      </c>
      <c r="B15" s="34" t="s">
        <v>58</v>
      </c>
      <c r="C15" s="35" t="s">
        <v>51</v>
      </c>
      <c r="D15" s="36"/>
    </row>
    <row r="16" spans="1:26" ht="28.55" customHeight="1" x14ac:dyDescent="0.25">
      <c r="A16" s="37">
        <v>9</v>
      </c>
      <c r="B16" s="38" t="s">
        <v>59</v>
      </c>
      <c r="C16" s="39"/>
      <c r="D16" s="35" t="s">
        <v>51</v>
      </c>
    </row>
    <row r="17" spans="1:4" ht="14.3" customHeight="1" x14ac:dyDescent="0.25">
      <c r="A17" s="3" t="s">
        <v>60</v>
      </c>
      <c r="B17" s="3"/>
      <c r="C17">
        <f>COUNTA('LISTA DE COMPROBACION - CU0-2'!$C$8:$C$16)</f>
        <v>8</v>
      </c>
      <c r="D17">
        <f>COUNTA('LISTA DE COMPROBACION - CU0-2'!$D$8:$D$16)</f>
        <v>1</v>
      </c>
    </row>
    <row r="18" spans="1:4" ht="14.3" customHeight="1" x14ac:dyDescent="0.25">
      <c r="A18" s="3" t="s">
        <v>61</v>
      </c>
      <c r="B18" s="3"/>
      <c r="C18" s="41">
        <f>C17/9</f>
        <v>0.88888888888888884</v>
      </c>
      <c r="D18" s="41">
        <f>D17/9</f>
        <v>0.1111111111111111</v>
      </c>
    </row>
    <row r="19" spans="1:4" ht="14.3" customHeight="1" x14ac:dyDescent="0.25">
      <c r="A19" s="40"/>
      <c r="B19" s="40"/>
      <c r="C19" s="41"/>
    </row>
    <row r="20" spans="1:4" ht="55.55" customHeight="1" x14ac:dyDescent="0.25">
      <c r="A20" s="2" t="s">
        <v>62</v>
      </c>
      <c r="B20" s="2"/>
      <c r="C20" s="2"/>
      <c r="D20" s="2"/>
    </row>
    <row r="21" spans="1:4" ht="14.3" customHeight="1" x14ac:dyDescent="0.25">
      <c r="A21" s="42" t="s">
        <v>46</v>
      </c>
      <c r="B21" s="43" t="s">
        <v>47</v>
      </c>
      <c r="C21" s="44" t="s">
        <v>48</v>
      </c>
      <c r="D21" s="45" t="s">
        <v>49</v>
      </c>
    </row>
    <row r="22" spans="1:4" ht="14.3" customHeight="1" x14ac:dyDescent="0.25">
      <c r="A22" s="33">
        <v>1</v>
      </c>
      <c r="B22" s="34" t="s">
        <v>63</v>
      </c>
      <c r="C22" s="35" t="s">
        <v>51</v>
      </c>
      <c r="D22" s="36"/>
    </row>
    <row r="23" spans="1:4" ht="14.3" customHeight="1" x14ac:dyDescent="0.25">
      <c r="A23" s="33">
        <v>2</v>
      </c>
      <c r="B23" s="34" t="s">
        <v>64</v>
      </c>
      <c r="C23" s="35" t="s">
        <v>51</v>
      </c>
      <c r="D23" s="36"/>
    </row>
    <row r="24" spans="1:4" ht="14.3" customHeight="1" x14ac:dyDescent="0.25">
      <c r="A24" s="33">
        <v>3</v>
      </c>
      <c r="B24" s="34" t="s">
        <v>65</v>
      </c>
      <c r="C24" s="35" t="s">
        <v>51</v>
      </c>
    </row>
    <row r="25" spans="1:4" ht="14.3" customHeight="1" x14ac:dyDescent="0.25">
      <c r="A25" s="33">
        <v>4</v>
      </c>
      <c r="B25" s="34" t="s">
        <v>66</v>
      </c>
      <c r="C25" s="35" t="s">
        <v>51</v>
      </c>
      <c r="D25" s="36"/>
    </row>
    <row r="26" spans="1:4" ht="14.3" customHeight="1" x14ac:dyDescent="0.25">
      <c r="A26" s="37">
        <v>5</v>
      </c>
      <c r="B26" s="38" t="s">
        <v>67</v>
      </c>
      <c r="C26" s="35" t="s">
        <v>51</v>
      </c>
      <c r="D26" s="46"/>
    </row>
    <row r="27" spans="1:4" ht="32.299999999999997" customHeight="1" x14ac:dyDescent="0.25">
      <c r="A27" s="3" t="s">
        <v>60</v>
      </c>
      <c r="B27" s="3"/>
      <c r="C27">
        <f>COUNTA('LISTA DE COMPROBACION - CU0-2'!$C$22:$C$26)</f>
        <v>5</v>
      </c>
      <c r="D27">
        <f>COUNTA('LISTA DE COMPROBACION - CU0-2'!$D$22:$D$26)</f>
        <v>0</v>
      </c>
    </row>
    <row r="28" spans="1:4" ht="14.3" customHeight="1" x14ac:dyDescent="0.25">
      <c r="A28" s="3" t="s">
        <v>61</v>
      </c>
      <c r="B28" s="3"/>
      <c r="C28" s="41">
        <f>C27/5</f>
        <v>1</v>
      </c>
      <c r="D28" s="41">
        <f>D27/5</f>
        <v>0</v>
      </c>
    </row>
    <row r="29" spans="1:4" ht="14.3" customHeight="1" x14ac:dyDescent="0.25">
      <c r="A29" s="40"/>
      <c r="B29" s="40"/>
      <c r="C29" s="41"/>
    </row>
    <row r="30" spans="1:4" ht="48.75" customHeight="1" x14ac:dyDescent="0.25">
      <c r="A30" s="4" t="s">
        <v>68</v>
      </c>
      <c r="B30" s="4"/>
      <c r="C30" s="4"/>
      <c r="D30" s="4"/>
    </row>
    <row r="31" spans="1:4" ht="14.3" customHeight="1" x14ac:dyDescent="0.25">
      <c r="A31" s="42" t="s">
        <v>46</v>
      </c>
      <c r="B31" s="43" t="s">
        <v>47</v>
      </c>
      <c r="C31" s="44" t="s">
        <v>48</v>
      </c>
      <c r="D31" s="45" t="s">
        <v>49</v>
      </c>
    </row>
    <row r="32" spans="1:4" ht="14.3" customHeight="1" x14ac:dyDescent="0.25">
      <c r="A32" s="33">
        <v>1</v>
      </c>
      <c r="B32" s="34" t="s">
        <v>69</v>
      </c>
      <c r="C32" t="s">
        <v>51</v>
      </c>
      <c r="D32" s="39"/>
    </row>
    <row r="33" spans="1:4" ht="14.3" customHeight="1" x14ac:dyDescent="0.25">
      <c r="A33" s="33">
        <v>2</v>
      </c>
      <c r="B33" s="34" t="s">
        <v>70</v>
      </c>
      <c r="C33" s="39" t="s">
        <v>51</v>
      </c>
      <c r="D33" s="39"/>
    </row>
    <row r="34" spans="1:4" ht="14.3" customHeight="1" x14ac:dyDescent="0.25">
      <c r="A34" s="37">
        <v>3</v>
      </c>
      <c r="B34" s="38" t="s">
        <v>71</v>
      </c>
      <c r="C34" s="39" t="s">
        <v>51</v>
      </c>
      <c r="D34" s="39"/>
    </row>
    <row r="35" spans="1:4" ht="14.3" customHeight="1" x14ac:dyDescent="0.25">
      <c r="A35" s="3" t="s">
        <v>60</v>
      </c>
      <c r="B35" s="3"/>
      <c r="C35">
        <f>COUNTA('LISTA DE COMPROBACION - CU0-2'!$C$32:$C$34)</f>
        <v>3</v>
      </c>
      <c r="D35">
        <f>COUNTA('LISTA DE COMPROBACION - CU0-2'!$D$32:$D$34)</f>
        <v>0</v>
      </c>
    </row>
    <row r="36" spans="1:4" ht="14.3" customHeight="1" x14ac:dyDescent="0.25">
      <c r="A36" s="3" t="s">
        <v>61</v>
      </c>
      <c r="B36" s="3"/>
      <c r="C36" s="41">
        <f>C35/3</f>
        <v>1</v>
      </c>
      <c r="D36" s="41">
        <f>D35/3</f>
        <v>0</v>
      </c>
    </row>
    <row r="40" spans="1:4" ht="14.3" customHeight="1" x14ac:dyDescent="0.35">
      <c r="A40" s="1" t="s">
        <v>72</v>
      </c>
      <c r="B40" s="1"/>
      <c r="C40" s="1"/>
    </row>
    <row r="41" spans="1:4" ht="30.1" customHeight="1" x14ac:dyDescent="0.25">
      <c r="B41" s="27" t="s">
        <v>73</v>
      </c>
      <c r="C41">
        <v>89</v>
      </c>
    </row>
    <row r="42" spans="1:4" ht="30.1" customHeight="1" x14ac:dyDescent="0.25">
      <c r="B42" s="27" t="s">
        <v>62</v>
      </c>
      <c r="C42">
        <v>100</v>
      </c>
    </row>
    <row r="43" spans="1:4" ht="30.1" customHeight="1" x14ac:dyDescent="0.25">
      <c r="B43" s="27" t="s">
        <v>68</v>
      </c>
      <c r="C43">
        <v>100</v>
      </c>
    </row>
  </sheetData>
  <mergeCells count="14">
    <mergeCell ref="A30:D30"/>
    <mergeCell ref="A35:B35"/>
    <mergeCell ref="A36:B36"/>
    <mergeCell ref="A40:C40"/>
    <mergeCell ref="A17:B17"/>
    <mergeCell ref="A18:B18"/>
    <mergeCell ref="A20:D20"/>
    <mergeCell ref="A27:B27"/>
    <mergeCell ref="A28:B28"/>
    <mergeCell ref="C1:D1"/>
    <mergeCell ref="C2:D2"/>
    <mergeCell ref="C3:D3"/>
    <mergeCell ref="C4:D4"/>
    <mergeCell ref="A6:D6"/>
  </mergeCells>
  <conditionalFormatting sqref="A32:D34">
    <cfRule type="containsText" dxfId="106" priority="60" operator="containsText" text="X">
      <formula>NOT(ISERROR(SEARCH("X",A32)))</formula>
    </cfRule>
  </conditionalFormatting>
  <conditionalFormatting sqref="C8:C13">
    <cfRule type="containsText" dxfId="105" priority="38" operator="containsText" text="X">
      <formula>NOT(ISERROR(SEARCH("X",C8)))</formula>
    </cfRule>
    <cfRule type="containsText" dxfId="104" priority="37" operator="containsText" text="X">
      <formula>NOT(ISERROR(SEARCH("X",C8)))</formula>
    </cfRule>
  </conditionalFormatting>
  <conditionalFormatting sqref="D15 C16 C25:D25 C32:D34">
    <cfRule type="containsText" dxfId="103" priority="64" operator="containsText" text="X">
      <formula>NOT(ISERROR(SEARCH("X",C15)))</formula>
    </cfRule>
  </conditionalFormatting>
  <conditionalFormatting sqref="C15">
    <cfRule type="containsText" dxfId="102" priority="28" operator="containsText" text="X">
      <formula>NOT(ISERROR(SEARCH("X",C15)))</formula>
    </cfRule>
    <cfRule type="containsText" dxfId="101" priority="31" operator="containsText" text="X">
      <formula>NOT(ISERROR(SEARCH("X",C15)))</formula>
    </cfRule>
  </conditionalFormatting>
  <conditionalFormatting sqref="C15:C16">
    <cfRule type="containsText" dxfId="100" priority="29" operator="containsText" text="X">
      <formula>NOT(ISERROR(SEARCH("X",C15)))</formula>
    </cfRule>
    <cfRule type="containsText" dxfId="99" priority="30" operator="containsText" text="X">
      <formula>NOT(ISERROR(SEARCH("X",C15)))</formula>
    </cfRule>
  </conditionalFormatting>
  <conditionalFormatting sqref="C22:C25">
    <cfRule type="containsText" dxfId="98" priority="13" operator="containsText" text="X">
      <formula>NOT(ISERROR(SEARCH("X",C22)))</formula>
    </cfRule>
    <cfRule type="containsText" dxfId="97" priority="14" operator="containsText" text="X">
      <formula>NOT(ISERROR(SEARCH("X",C22)))</formula>
    </cfRule>
  </conditionalFormatting>
  <conditionalFormatting sqref="C26">
    <cfRule type="containsText" dxfId="96" priority="9" operator="containsText" text="X">
      <formula>NOT(ISERROR(SEARCH("X",C26)))</formula>
    </cfRule>
    <cfRule type="containsText" dxfId="95" priority="10" operator="containsText" text="X">
      <formula>NOT(ISERROR(SEARCH("X",C26)))</formula>
    </cfRule>
  </conditionalFormatting>
  <conditionalFormatting sqref="C8:D13">
    <cfRule type="containsText" dxfId="94" priority="39" operator="containsText" text="X">
      <formula>NOT(ISERROR(SEARCH("X",C8)))</formula>
    </cfRule>
    <cfRule type="containsText" dxfId="93" priority="36" operator="containsText" text="X">
      <formula>NOT(ISERROR(SEARCH("X",C8)))</formula>
    </cfRule>
  </conditionalFormatting>
  <conditionalFormatting sqref="C22:D24">
    <cfRule type="containsText" dxfId="92" priority="15" operator="containsText" text="X">
      <formula>NOT(ISERROR(SEARCH("X",C22)))</formula>
    </cfRule>
    <cfRule type="containsText" dxfId="91" priority="12" operator="containsText" text="X">
      <formula>NOT(ISERROR(SEARCH("X",C22)))</formula>
    </cfRule>
  </conditionalFormatting>
  <conditionalFormatting sqref="C26:D26">
    <cfRule type="containsText" dxfId="90" priority="11" operator="containsText" text="X">
      <formula>NOT(ISERROR(SEARCH("X",C26)))</formula>
    </cfRule>
    <cfRule type="containsText" dxfId="89" priority="8" operator="containsText" text="X">
      <formula>NOT(ISERROR(SEARCH("X",C26)))</formula>
    </cfRule>
  </conditionalFormatting>
  <conditionalFormatting sqref="D8:D15">
    <cfRule type="containsText" dxfId="88" priority="34" operator="containsText" text="X">
      <formula>NOT(ISERROR(SEARCH("X",D8)))</formula>
    </cfRule>
    <cfRule type="containsText" dxfId="87" priority="33" operator="containsText" text="X">
      <formula>NOT(ISERROR(SEARCH("X",D8)))</formula>
    </cfRule>
  </conditionalFormatting>
  <conditionalFormatting sqref="D14">
    <cfRule type="containsText" dxfId="86" priority="35" operator="containsText" text="X">
      <formula>NOT(ISERROR(SEARCH("X",D14)))</formula>
    </cfRule>
    <cfRule type="containsText" dxfId="85" priority="32" operator="containsText" text="X">
      <formula>NOT(ISERROR(SEARCH("X",D14)))</formula>
    </cfRule>
  </conditionalFormatting>
  <conditionalFormatting sqref="D16">
    <cfRule type="containsText" dxfId="84" priority="24" operator="containsText" text="X">
      <formula>NOT(ISERROR(SEARCH("X",D16)))</formula>
    </cfRule>
    <cfRule type="containsText" dxfId="83" priority="25" operator="containsText" text="X">
      <formula>NOT(ISERROR(SEARCH("X",D16)))</formula>
    </cfRule>
    <cfRule type="containsText" dxfId="82" priority="26" operator="containsText" text="X">
      <formula>NOT(ISERROR(SEARCH("X",D16)))</formula>
    </cfRule>
    <cfRule type="containsText" dxfId="81" priority="27" operator="containsText" text="X">
      <formula>NOT(ISERROR(SEARCH("X",D16)))</formula>
    </cfRule>
  </conditionalFormatting>
  <conditionalFormatting sqref="D32:D34 C33:C34 D15 C16 C25:D25">
    <cfRule type="containsText" dxfId="80" priority="63" operator="containsText" text="X">
      <formula>NOT(ISERROR(SEARCH("X",C15)))</formula>
    </cfRule>
  </conditionalFormatting>
  <conditionalFormatting sqref="D32:D34 C33:C34">
    <cfRule type="containsText" dxfId="79" priority="61" operator="containsText" text="X">
      <formula>NOT(ISERROR(SEARCH("X",C32)))</formula>
    </cfRule>
    <cfRule type="containsText" dxfId="78" priority="62" operator="containsText" text="X">
      <formula>NOT(ISERROR(SEARCH("X",C32)))</formula>
    </cfRule>
  </conditionalFormatting>
  <conditionalFormatting sqref="C25">
    <cfRule type="containsText" dxfId="19" priority="5" operator="containsText" text="X">
      <formula>NOT(ISERROR(SEARCH("X",C25)))</formula>
    </cfRule>
    <cfRule type="containsText" dxfId="20" priority="6" operator="containsText" text="X">
      <formula>NOT(ISERROR(SEARCH("X",C25)))</formula>
    </cfRule>
  </conditionalFormatting>
  <conditionalFormatting sqref="C14">
    <cfRule type="containsText" dxfId="18" priority="2" operator="containsText" text="X">
      <formula>NOT(ISERROR(SEARCH("X",C14)))</formula>
    </cfRule>
    <cfRule type="containsText" dxfId="17" priority="3" operator="containsText" text="X">
      <formula>NOT(ISERROR(SEARCH("X",C14)))</formula>
    </cfRule>
  </conditionalFormatting>
  <conditionalFormatting sqref="C14">
    <cfRule type="containsText" dxfId="15" priority="1" operator="containsText" text="X">
      <formula>NOT(ISERROR(SEARCH("X",C14)))</formula>
    </cfRule>
    <cfRule type="containsText" dxfId="16" priority="4" operator="containsText" text="X">
      <formula>NOT(ISERROR(SEARCH("X",C14)))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3"/>
  <sheetViews>
    <sheetView tabSelected="1" zoomScaleNormal="100" workbookViewId="0">
      <selection activeCell="D38" sqref="D38"/>
    </sheetView>
  </sheetViews>
  <sheetFormatPr baseColWidth="10" defaultColWidth="14.375" defaultRowHeight="14.3" customHeight="1" x14ac:dyDescent="0.25"/>
  <cols>
    <col min="1" max="1" width="10.75" customWidth="1"/>
    <col min="2" max="2" width="50" customWidth="1"/>
    <col min="3" max="3" width="16.125" customWidth="1"/>
    <col min="4" max="4" width="45.75" customWidth="1"/>
    <col min="5" max="24" width="10.75" customWidth="1"/>
  </cols>
  <sheetData>
    <row r="1" spans="1:26" ht="50.3" customHeight="1" x14ac:dyDescent="0.25">
      <c r="A1" s="27"/>
      <c r="B1" s="28" t="s">
        <v>3</v>
      </c>
      <c r="C1" s="7" t="s">
        <v>4</v>
      </c>
      <c r="D1" s="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29.25" customHeight="1" x14ac:dyDescent="0.35">
      <c r="B2" s="29" t="s">
        <v>41</v>
      </c>
      <c r="C2" s="6">
        <v>46306</v>
      </c>
      <c r="D2" s="6"/>
    </row>
    <row r="3" spans="1:26" ht="23.3" customHeight="1" x14ac:dyDescent="0.35">
      <c r="B3" s="29" t="s">
        <v>42</v>
      </c>
      <c r="C3" s="5" t="s">
        <v>74</v>
      </c>
      <c r="D3" s="5"/>
    </row>
    <row r="4" spans="1:26" ht="21.1" customHeight="1" x14ac:dyDescent="0.35">
      <c r="B4" s="29" t="s">
        <v>44</v>
      </c>
      <c r="C4" s="5" t="s">
        <v>12</v>
      </c>
      <c r="D4" s="5"/>
    </row>
    <row r="6" spans="1:26" ht="41.3" customHeight="1" x14ac:dyDescent="0.25">
      <c r="A6" s="4" t="s">
        <v>45</v>
      </c>
      <c r="B6" s="4"/>
      <c r="C6" s="4"/>
      <c r="D6" s="4"/>
    </row>
    <row r="7" spans="1:26" ht="14.3" customHeight="1" x14ac:dyDescent="0.25">
      <c r="A7" s="30" t="s">
        <v>46</v>
      </c>
      <c r="B7" s="31" t="s">
        <v>47</v>
      </c>
      <c r="C7" s="31" t="s">
        <v>48</v>
      </c>
      <c r="D7" s="32" t="s">
        <v>49</v>
      </c>
    </row>
    <row r="8" spans="1:26" ht="14.3" customHeight="1" x14ac:dyDescent="0.25">
      <c r="A8" s="33">
        <v>1</v>
      </c>
      <c r="B8" s="34" t="s">
        <v>50</v>
      </c>
      <c r="C8" s="35" t="s">
        <v>51</v>
      </c>
      <c r="D8" s="36"/>
    </row>
    <row r="9" spans="1:26" ht="14.3" customHeight="1" x14ac:dyDescent="0.25">
      <c r="A9" s="33">
        <v>2</v>
      </c>
      <c r="B9" s="34" t="s">
        <v>52</v>
      </c>
      <c r="C9" s="35" t="s">
        <v>51</v>
      </c>
      <c r="D9" s="36"/>
    </row>
    <row r="10" spans="1:26" ht="14.3" customHeight="1" x14ac:dyDescent="0.25">
      <c r="A10" s="33">
        <v>3</v>
      </c>
      <c r="B10" s="34" t="s">
        <v>53</v>
      </c>
      <c r="C10" s="35" t="s">
        <v>51</v>
      </c>
      <c r="D10" s="36"/>
    </row>
    <row r="11" spans="1:26" ht="14.3" customHeight="1" x14ac:dyDescent="0.25">
      <c r="A11" s="33">
        <v>4</v>
      </c>
      <c r="B11" s="34" t="s">
        <v>54</v>
      </c>
      <c r="C11" s="35" t="s">
        <v>51</v>
      </c>
      <c r="D11" s="36"/>
    </row>
    <row r="12" spans="1:26" ht="14.3" customHeight="1" x14ac:dyDescent="0.25">
      <c r="A12" s="33">
        <v>5</v>
      </c>
      <c r="B12" s="34" t="s">
        <v>55</v>
      </c>
      <c r="C12" s="35" t="s">
        <v>51</v>
      </c>
      <c r="D12" s="36"/>
    </row>
    <row r="13" spans="1:26" ht="14.3" customHeight="1" x14ac:dyDescent="0.25">
      <c r="A13" s="33">
        <v>6</v>
      </c>
      <c r="B13" s="34" t="s">
        <v>56</v>
      </c>
      <c r="C13" s="35" t="s">
        <v>51</v>
      </c>
      <c r="D13" s="36"/>
    </row>
    <row r="14" spans="1:26" ht="14.3" customHeight="1" x14ac:dyDescent="0.25">
      <c r="A14" s="33">
        <v>7</v>
      </c>
      <c r="B14" s="34" t="s">
        <v>57</v>
      </c>
      <c r="C14" s="35" t="s">
        <v>51</v>
      </c>
      <c r="D14" s="35"/>
    </row>
    <row r="15" spans="1:26" ht="14.3" customHeight="1" x14ac:dyDescent="0.25">
      <c r="A15" s="33">
        <v>8</v>
      </c>
      <c r="B15" s="34" t="s">
        <v>58</v>
      </c>
      <c r="C15" s="35" t="s">
        <v>51</v>
      </c>
      <c r="D15" s="36"/>
    </row>
    <row r="16" spans="1:26" ht="28.55" customHeight="1" x14ac:dyDescent="0.25">
      <c r="A16" s="37">
        <v>9</v>
      </c>
      <c r="B16" s="38" t="s">
        <v>59</v>
      </c>
      <c r="C16" s="39"/>
      <c r="D16" s="39" t="s">
        <v>51</v>
      </c>
    </row>
    <row r="17" spans="1:4" ht="14.3" customHeight="1" x14ac:dyDescent="0.25">
      <c r="A17" s="3" t="s">
        <v>60</v>
      </c>
      <c r="B17" s="3"/>
      <c r="C17">
        <f>COUNTA('LISTA DE COMPROBACION - CU0-3'!$C$8:$C$16)</f>
        <v>8</v>
      </c>
      <c r="D17">
        <f>COUNTA('LISTA DE COMPROBACION - CU0-3'!$D$8:$D$16)</f>
        <v>1</v>
      </c>
    </row>
    <row r="18" spans="1:4" ht="14.3" customHeight="1" x14ac:dyDescent="0.25">
      <c r="A18" s="3" t="s">
        <v>61</v>
      </c>
      <c r="B18" s="3"/>
      <c r="C18" s="41">
        <f>C17/9</f>
        <v>0.88888888888888884</v>
      </c>
      <c r="D18" s="41">
        <f>D17/9</f>
        <v>0.1111111111111111</v>
      </c>
    </row>
    <row r="19" spans="1:4" ht="14.3" customHeight="1" x14ac:dyDescent="0.25">
      <c r="A19" s="40"/>
      <c r="B19" s="40"/>
      <c r="C19" s="41"/>
    </row>
    <row r="20" spans="1:4" ht="55.55" customHeight="1" x14ac:dyDescent="0.25">
      <c r="A20" s="2" t="s">
        <v>62</v>
      </c>
      <c r="B20" s="2"/>
      <c r="C20" s="2"/>
      <c r="D20" s="2"/>
    </row>
    <row r="21" spans="1:4" ht="14.3" customHeight="1" x14ac:dyDescent="0.25">
      <c r="A21" s="42" t="s">
        <v>46</v>
      </c>
      <c r="B21" s="43" t="s">
        <v>47</v>
      </c>
      <c r="C21" s="44" t="s">
        <v>48</v>
      </c>
      <c r="D21" s="45" t="s">
        <v>49</v>
      </c>
    </row>
    <row r="22" spans="1:4" ht="14.3" customHeight="1" x14ac:dyDescent="0.25">
      <c r="A22" s="33">
        <v>1</v>
      </c>
      <c r="B22" s="34" t="s">
        <v>63</v>
      </c>
      <c r="C22" s="39" t="s">
        <v>51</v>
      </c>
      <c r="D22" s="36"/>
    </row>
    <row r="23" spans="1:4" ht="14.3" customHeight="1" x14ac:dyDescent="0.25">
      <c r="A23" s="33">
        <v>2</v>
      </c>
      <c r="B23" s="34" t="s">
        <v>64</v>
      </c>
      <c r="C23" s="39" t="s">
        <v>51</v>
      </c>
      <c r="D23" s="36"/>
    </row>
    <row r="24" spans="1:4" ht="14.3" customHeight="1" x14ac:dyDescent="0.25">
      <c r="A24" s="33">
        <v>3</v>
      </c>
      <c r="B24" s="34" t="s">
        <v>65</v>
      </c>
      <c r="C24" s="39" t="s">
        <v>51</v>
      </c>
    </row>
    <row r="25" spans="1:4" ht="14.3" customHeight="1" x14ac:dyDescent="0.25">
      <c r="A25" s="33">
        <v>4</v>
      </c>
      <c r="B25" s="34" t="s">
        <v>66</v>
      </c>
      <c r="C25" s="39" t="s">
        <v>51</v>
      </c>
      <c r="D25" s="36"/>
    </row>
    <row r="26" spans="1:4" ht="14.3" customHeight="1" x14ac:dyDescent="0.25">
      <c r="A26" s="37">
        <v>5</v>
      </c>
      <c r="B26" s="38" t="s">
        <v>67</v>
      </c>
      <c r="C26" s="39" t="s">
        <v>51</v>
      </c>
      <c r="D26" s="46"/>
    </row>
    <row r="27" spans="1:4" ht="32.299999999999997" customHeight="1" x14ac:dyDescent="0.25">
      <c r="A27" s="3" t="s">
        <v>60</v>
      </c>
      <c r="B27" s="3"/>
      <c r="C27">
        <f>COUNTA('LISTA DE COMPROBACION - CU0-3'!$C$22:$C$26)</f>
        <v>5</v>
      </c>
      <c r="D27">
        <f>COUNTA('LISTA DE COMPROBACION - CU0-3'!$D$22:$D$26)</f>
        <v>0</v>
      </c>
    </row>
    <row r="28" spans="1:4" ht="14.3" customHeight="1" x14ac:dyDescent="0.25">
      <c r="A28" s="3" t="s">
        <v>61</v>
      </c>
      <c r="B28" s="3"/>
      <c r="C28" s="41">
        <f>C27/5</f>
        <v>1</v>
      </c>
      <c r="D28" s="41">
        <f>D27/5</f>
        <v>0</v>
      </c>
    </row>
    <row r="29" spans="1:4" ht="14.3" customHeight="1" x14ac:dyDescent="0.25">
      <c r="A29" s="40"/>
      <c r="B29" s="40"/>
      <c r="C29" s="41"/>
    </row>
    <row r="30" spans="1:4" ht="48.75" customHeight="1" x14ac:dyDescent="0.25">
      <c r="A30" s="4" t="s">
        <v>68</v>
      </c>
      <c r="B30" s="4"/>
      <c r="C30" s="4"/>
      <c r="D30" s="4"/>
    </row>
    <row r="31" spans="1:4" ht="14.3" customHeight="1" x14ac:dyDescent="0.25">
      <c r="A31" s="42" t="s">
        <v>46</v>
      </c>
      <c r="B31" s="43" t="s">
        <v>47</v>
      </c>
      <c r="C31" s="44" t="s">
        <v>48</v>
      </c>
      <c r="D31" s="45" t="s">
        <v>49</v>
      </c>
    </row>
    <row r="32" spans="1:4" ht="14.3" customHeight="1" x14ac:dyDescent="0.25">
      <c r="A32" s="33">
        <v>1</v>
      </c>
      <c r="B32" s="34" t="s">
        <v>69</v>
      </c>
      <c r="C32" s="35" t="s">
        <v>51</v>
      </c>
      <c r="D32" s="39"/>
    </row>
    <row r="33" spans="1:4" ht="14.3" customHeight="1" x14ac:dyDescent="0.25">
      <c r="A33" s="33">
        <v>2</v>
      </c>
      <c r="B33" s="34" t="s">
        <v>70</v>
      </c>
      <c r="C33" s="39" t="s">
        <v>51</v>
      </c>
      <c r="D33" s="39"/>
    </row>
    <row r="34" spans="1:4" ht="14.3" customHeight="1" x14ac:dyDescent="0.25">
      <c r="A34" s="37">
        <v>3</v>
      </c>
      <c r="B34" s="38" t="s">
        <v>71</v>
      </c>
      <c r="C34" s="39" t="s">
        <v>51</v>
      </c>
      <c r="D34" s="39"/>
    </row>
    <row r="35" spans="1:4" ht="14.3" customHeight="1" x14ac:dyDescent="0.25">
      <c r="A35" s="3" t="s">
        <v>60</v>
      </c>
      <c r="B35" s="3"/>
      <c r="C35">
        <f>COUNTA('LISTA DE COMPROBACION - CU0-3'!$C$32:$C$34)</f>
        <v>3</v>
      </c>
      <c r="D35">
        <f>COUNTA('LISTA DE COMPROBACION - CU0-3'!$D$32:$D$34)</f>
        <v>0</v>
      </c>
    </row>
    <row r="36" spans="1:4" ht="14.3" customHeight="1" x14ac:dyDescent="0.25">
      <c r="A36" s="3" t="s">
        <v>61</v>
      </c>
      <c r="B36" s="3"/>
      <c r="C36" s="41">
        <f>C35/3</f>
        <v>1</v>
      </c>
      <c r="D36" s="41">
        <f>D35/3</f>
        <v>0</v>
      </c>
    </row>
    <row r="40" spans="1:4" ht="14.3" customHeight="1" x14ac:dyDescent="0.35">
      <c r="A40" s="1" t="s">
        <v>72</v>
      </c>
      <c r="B40" s="1"/>
      <c r="C40" s="1"/>
    </row>
    <row r="41" spans="1:4" ht="30.1" customHeight="1" x14ac:dyDescent="0.25">
      <c r="B41" s="27" t="s">
        <v>73</v>
      </c>
      <c r="C41">
        <v>89</v>
      </c>
    </row>
    <row r="42" spans="1:4" ht="30.1" customHeight="1" x14ac:dyDescent="0.25">
      <c r="B42" s="27" t="s">
        <v>62</v>
      </c>
      <c r="C42">
        <v>100</v>
      </c>
    </row>
    <row r="43" spans="1:4" ht="30.1" customHeight="1" x14ac:dyDescent="0.25">
      <c r="B43" s="27" t="s">
        <v>68</v>
      </c>
      <c r="C43">
        <v>100</v>
      </c>
    </row>
  </sheetData>
  <mergeCells count="14">
    <mergeCell ref="A30:D30"/>
    <mergeCell ref="A35:B35"/>
    <mergeCell ref="A36:B36"/>
    <mergeCell ref="A40:C40"/>
    <mergeCell ref="A17:B17"/>
    <mergeCell ref="A18:B18"/>
    <mergeCell ref="A20:D20"/>
    <mergeCell ref="A27:B27"/>
    <mergeCell ref="A28:B28"/>
    <mergeCell ref="C1:D1"/>
    <mergeCell ref="C2:D2"/>
    <mergeCell ref="C3:D3"/>
    <mergeCell ref="C4:D4"/>
    <mergeCell ref="A6:D6"/>
  </mergeCells>
  <conditionalFormatting sqref="A33:D34 A32:B32 D32">
    <cfRule type="containsText" dxfId="77" priority="8" operator="containsText" text="X">
      <formula>NOT(ISERROR(SEARCH("X",A32)))</formula>
    </cfRule>
  </conditionalFormatting>
  <conditionalFormatting sqref="C22:C26 C8:D16 C33:C34">
    <cfRule type="containsText" dxfId="14" priority="15" operator="containsText" text="X">
      <formula>NOT(ISERROR(SEARCH("X",C8)))</formula>
    </cfRule>
  </conditionalFormatting>
  <conditionalFormatting sqref="C8:D16 C22:C26 C33:D34 D32">
    <cfRule type="containsText" dxfId="8" priority="9" operator="containsText" text="X">
      <formula>NOT(ISERROR(SEARCH("X",C8)))</formula>
    </cfRule>
    <cfRule type="containsText" dxfId="7" priority="10" operator="containsText" text="X">
      <formula>NOT(ISERROR(SEARCH("X",C8)))</formula>
    </cfRule>
    <cfRule type="containsText" dxfId="6" priority="11" operator="containsText" text="X">
      <formula>NOT(ISERROR(SEARCH("X",C8)))</formula>
    </cfRule>
  </conditionalFormatting>
  <conditionalFormatting sqref="C22:D26">
    <cfRule type="containsText" dxfId="76" priority="12" operator="containsText" text="X">
      <formula>NOT(ISERROR(SEARCH("X",C22)))</formula>
    </cfRule>
    <cfRule type="containsText" dxfId="75" priority="13" operator="containsText" text="X">
      <formula>NOT(ISERROR(SEARCH("X",C22)))</formula>
    </cfRule>
  </conditionalFormatting>
  <conditionalFormatting sqref="C33:D34 D32">
    <cfRule type="containsText" dxfId="74" priority="14" operator="containsText" text="X">
      <formula>NOT(ISERROR(SEARCH("X",C32)))</formula>
    </cfRule>
  </conditionalFormatting>
  <conditionalFormatting sqref="C32">
    <cfRule type="containsText" dxfId="3" priority="2" operator="containsText" text="X">
      <formula>NOT(ISERROR(SEARCH("X",C32)))</formula>
    </cfRule>
    <cfRule type="containsText" dxfId="2" priority="3" operator="containsText" text="X">
      <formula>NOT(ISERROR(SEARCH("X",C32)))</formula>
    </cfRule>
  </conditionalFormatting>
  <conditionalFormatting sqref="C32">
    <cfRule type="containsText" dxfId="1" priority="1" operator="containsText" text="X">
      <formula>NOT(ISERROR(SEARCH("X",C32)))</formula>
    </cfRule>
    <cfRule type="containsText" dxfId="0" priority="4" operator="containsText" text="X">
      <formula>NOT(ISERROR(SEARCH("X",C32)))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43"/>
  <sheetViews>
    <sheetView topLeftCell="A7" zoomScaleNormal="100" workbookViewId="0">
      <selection activeCell="D25" sqref="D25"/>
    </sheetView>
  </sheetViews>
  <sheetFormatPr baseColWidth="10" defaultColWidth="14.375" defaultRowHeight="14.3" customHeight="1" x14ac:dyDescent="0.25"/>
  <cols>
    <col min="1" max="1" width="10.75" customWidth="1"/>
    <col min="2" max="2" width="39.875" customWidth="1"/>
    <col min="3" max="3" width="43.25" customWidth="1"/>
    <col min="4" max="24" width="10.75" customWidth="1"/>
  </cols>
  <sheetData>
    <row r="1" spans="1:26" ht="50.3" customHeight="1" x14ac:dyDescent="0.25">
      <c r="A1" s="27"/>
      <c r="B1" s="28" t="s">
        <v>3</v>
      </c>
      <c r="C1" s="7" t="s">
        <v>4</v>
      </c>
      <c r="D1" s="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3" customHeight="1" x14ac:dyDescent="0.35">
      <c r="B2" s="29" t="s">
        <v>41</v>
      </c>
      <c r="C2" s="6">
        <v>46300</v>
      </c>
      <c r="D2" s="6"/>
    </row>
    <row r="3" spans="1:26" ht="18" customHeight="1" x14ac:dyDescent="0.35">
      <c r="B3" s="29" t="s">
        <v>42</v>
      </c>
      <c r="C3" s="5" t="s">
        <v>75</v>
      </c>
      <c r="D3" s="5"/>
    </row>
    <row r="4" spans="1:26" ht="29.25" customHeight="1" x14ac:dyDescent="0.35">
      <c r="B4" s="29" t="s">
        <v>44</v>
      </c>
      <c r="C4" s="5" t="s">
        <v>13</v>
      </c>
      <c r="D4" s="5"/>
    </row>
    <row r="6" spans="1:26" ht="21.1" customHeight="1" x14ac:dyDescent="0.25">
      <c r="A6" s="4" t="s">
        <v>45</v>
      </c>
      <c r="B6" s="4"/>
      <c r="C6" s="4"/>
      <c r="D6" s="4"/>
    </row>
    <row r="7" spans="1:26" ht="23.3" customHeight="1" x14ac:dyDescent="0.25">
      <c r="A7" s="30" t="s">
        <v>46</v>
      </c>
      <c r="B7" s="31" t="s">
        <v>47</v>
      </c>
      <c r="C7" s="31" t="s">
        <v>48</v>
      </c>
      <c r="D7" s="32" t="s">
        <v>49</v>
      </c>
    </row>
    <row r="8" spans="1:26" ht="17.350000000000001" customHeight="1" x14ac:dyDescent="0.25">
      <c r="A8" s="33">
        <v>1</v>
      </c>
      <c r="B8" s="34" t="s">
        <v>50</v>
      </c>
      <c r="C8" s="35" t="s">
        <v>51</v>
      </c>
      <c r="D8" s="36"/>
    </row>
    <row r="9" spans="1:26" ht="14.3" customHeight="1" x14ac:dyDescent="0.25">
      <c r="A9" s="33">
        <v>2</v>
      </c>
      <c r="B9" s="34" t="s">
        <v>52</v>
      </c>
      <c r="C9" s="35" t="s">
        <v>51</v>
      </c>
      <c r="D9" s="36"/>
    </row>
    <row r="10" spans="1:26" ht="14.3" customHeight="1" x14ac:dyDescent="0.25">
      <c r="A10" s="33">
        <v>3</v>
      </c>
      <c r="B10" s="34" t="s">
        <v>53</v>
      </c>
      <c r="C10" s="35" t="s">
        <v>51</v>
      </c>
      <c r="D10" s="36"/>
    </row>
    <row r="11" spans="1:26" ht="14.3" customHeight="1" x14ac:dyDescent="0.25">
      <c r="A11" s="33">
        <v>4</v>
      </c>
      <c r="B11" s="34" t="s">
        <v>54</v>
      </c>
      <c r="C11" s="35" t="s">
        <v>51</v>
      </c>
      <c r="D11" s="36"/>
    </row>
    <row r="12" spans="1:26" ht="14.3" customHeight="1" x14ac:dyDescent="0.25">
      <c r="A12" s="33">
        <v>5</v>
      </c>
      <c r="B12" s="34" t="s">
        <v>55</v>
      </c>
      <c r="C12" s="35" t="s">
        <v>51</v>
      </c>
      <c r="D12" s="36"/>
    </row>
    <row r="13" spans="1:26" ht="14.3" customHeight="1" x14ac:dyDescent="0.25">
      <c r="A13" s="33">
        <v>6</v>
      </c>
      <c r="B13" s="34" t="s">
        <v>56</v>
      </c>
      <c r="C13" s="35" t="s">
        <v>51</v>
      </c>
      <c r="D13" s="36"/>
    </row>
    <row r="14" spans="1:26" ht="14.3" customHeight="1" x14ac:dyDescent="0.25">
      <c r="A14" s="33">
        <v>7</v>
      </c>
      <c r="B14" s="34" t="s">
        <v>57</v>
      </c>
      <c r="C14" s="35" t="s">
        <v>51</v>
      </c>
      <c r="D14" s="35"/>
    </row>
    <row r="15" spans="1:26" ht="14.3" customHeight="1" x14ac:dyDescent="0.25">
      <c r="A15" s="33">
        <v>8</v>
      </c>
      <c r="B15" s="34" t="s">
        <v>58</v>
      </c>
      <c r="C15" s="35" t="s">
        <v>51</v>
      </c>
      <c r="D15" s="36"/>
    </row>
    <row r="16" spans="1:26" ht="14.3" customHeight="1" x14ac:dyDescent="0.25">
      <c r="A16" s="37">
        <v>9</v>
      </c>
      <c r="B16" s="38" t="s">
        <v>59</v>
      </c>
      <c r="C16" s="39"/>
      <c r="D16" s="39" t="s">
        <v>51</v>
      </c>
    </row>
    <row r="17" spans="1:4" ht="14.3" customHeight="1" x14ac:dyDescent="0.25">
      <c r="A17" s="3" t="s">
        <v>60</v>
      </c>
      <c r="B17" s="3"/>
      <c r="C17">
        <f>COUNTA('LISTA DE COMPROBACION - CU0-4'!$C$8:$C$16)</f>
        <v>8</v>
      </c>
      <c r="D17">
        <f>COUNTA('LISTA DE COMPROBACION - CU0-4'!$D$8:$D$16)</f>
        <v>1</v>
      </c>
    </row>
    <row r="18" spans="1:4" ht="14.3" customHeight="1" x14ac:dyDescent="0.25">
      <c r="A18" s="3" t="s">
        <v>61</v>
      </c>
      <c r="B18" s="3"/>
      <c r="C18" s="41">
        <f>C17/9</f>
        <v>0.88888888888888884</v>
      </c>
      <c r="D18" s="41">
        <f>D17/9</f>
        <v>0.1111111111111111</v>
      </c>
    </row>
    <row r="19" spans="1:4" ht="14.3" customHeight="1" x14ac:dyDescent="0.25">
      <c r="A19" s="40"/>
      <c r="B19" s="40"/>
      <c r="C19" s="41"/>
    </row>
    <row r="20" spans="1:4" ht="14.3" customHeight="1" x14ac:dyDescent="0.25">
      <c r="A20" s="2" t="s">
        <v>62</v>
      </c>
      <c r="B20" s="2"/>
      <c r="C20" s="2"/>
      <c r="D20" s="2"/>
    </row>
    <row r="21" spans="1:4" ht="14.3" customHeight="1" x14ac:dyDescent="0.25">
      <c r="A21" s="42" t="s">
        <v>46</v>
      </c>
      <c r="B21" s="43" t="s">
        <v>47</v>
      </c>
      <c r="C21" s="44" t="s">
        <v>48</v>
      </c>
      <c r="D21" s="45" t="s">
        <v>49</v>
      </c>
    </row>
    <row r="22" spans="1:4" ht="14.3" customHeight="1" x14ac:dyDescent="0.25">
      <c r="A22" s="33">
        <v>1</v>
      </c>
      <c r="B22" s="34" t="s">
        <v>63</v>
      </c>
      <c r="C22" s="39" t="s">
        <v>51</v>
      </c>
      <c r="D22" s="36"/>
    </row>
    <row r="23" spans="1:4" ht="14.3" customHeight="1" x14ac:dyDescent="0.25">
      <c r="A23" s="33">
        <v>2</v>
      </c>
      <c r="B23" s="34" t="s">
        <v>64</v>
      </c>
      <c r="C23" s="39" t="s">
        <v>51</v>
      </c>
      <c r="D23" s="36"/>
    </row>
    <row r="24" spans="1:4" ht="14.3" customHeight="1" x14ac:dyDescent="0.25">
      <c r="A24" s="33">
        <v>3</v>
      </c>
      <c r="B24" s="34" t="s">
        <v>65</v>
      </c>
      <c r="C24" s="39" t="s">
        <v>51</v>
      </c>
      <c r="D24" s="36"/>
    </row>
    <row r="25" spans="1:4" ht="14.3" customHeight="1" x14ac:dyDescent="0.25">
      <c r="A25" s="33">
        <v>4</v>
      </c>
      <c r="B25" s="34" t="s">
        <v>66</v>
      </c>
      <c r="C25" s="39"/>
      <c r="D25" s="35" t="s">
        <v>51</v>
      </c>
    </row>
    <row r="26" spans="1:4" ht="14.3" customHeight="1" x14ac:dyDescent="0.25">
      <c r="A26" s="37">
        <v>5</v>
      </c>
      <c r="B26" s="38" t="s">
        <v>67</v>
      </c>
      <c r="C26" s="39" t="s">
        <v>51</v>
      </c>
      <c r="D26" s="46"/>
    </row>
    <row r="27" spans="1:4" ht="14.3" customHeight="1" x14ac:dyDescent="0.25">
      <c r="A27" s="3" t="s">
        <v>60</v>
      </c>
      <c r="B27" s="3"/>
      <c r="C27">
        <f>COUNTA('LISTA DE COMPROBACION - CU0-4'!$C$22:$C$26)</f>
        <v>4</v>
      </c>
      <c r="D27">
        <f>COUNTA('LISTA DE COMPROBACION - CU0-4'!$D$22:$D$26)</f>
        <v>1</v>
      </c>
    </row>
    <row r="28" spans="1:4" ht="14.3" customHeight="1" x14ac:dyDescent="0.25">
      <c r="A28" s="3" t="s">
        <v>61</v>
      </c>
      <c r="B28" s="3"/>
      <c r="C28" s="41">
        <f>C27/5</f>
        <v>0.8</v>
      </c>
      <c r="D28" s="41">
        <f>D27/5</f>
        <v>0.2</v>
      </c>
    </row>
    <row r="29" spans="1:4" ht="14.3" customHeight="1" x14ac:dyDescent="0.25">
      <c r="A29" s="40"/>
      <c r="B29" s="40"/>
      <c r="C29" s="41"/>
    </row>
    <row r="30" spans="1:4" ht="14.3" customHeight="1" x14ac:dyDescent="0.25">
      <c r="A30" s="4" t="s">
        <v>68</v>
      </c>
      <c r="B30" s="4"/>
      <c r="C30" s="4"/>
      <c r="D30" s="4"/>
    </row>
    <row r="31" spans="1:4" ht="14.3" customHeight="1" x14ac:dyDescent="0.25">
      <c r="A31" s="42" t="s">
        <v>46</v>
      </c>
      <c r="B31" s="43" t="s">
        <v>47</v>
      </c>
      <c r="C31" s="44" t="s">
        <v>48</v>
      </c>
      <c r="D31" s="45" t="s">
        <v>49</v>
      </c>
    </row>
    <row r="32" spans="1:4" ht="14.3" customHeight="1" x14ac:dyDescent="0.25">
      <c r="A32" s="33">
        <v>1</v>
      </c>
      <c r="B32" s="34" t="s">
        <v>69</v>
      </c>
      <c r="C32" s="39" t="s">
        <v>51</v>
      </c>
      <c r="D32" s="39"/>
    </row>
    <row r="33" spans="1:4" ht="14.3" customHeight="1" x14ac:dyDescent="0.25">
      <c r="A33" s="33">
        <v>2</v>
      </c>
      <c r="B33" s="34" t="s">
        <v>70</v>
      </c>
      <c r="C33" s="39" t="s">
        <v>51</v>
      </c>
      <c r="D33" s="39"/>
    </row>
    <row r="34" spans="1:4" ht="14.3" customHeight="1" x14ac:dyDescent="0.25">
      <c r="A34" s="37">
        <v>3</v>
      </c>
      <c r="B34" s="38" t="s">
        <v>71</v>
      </c>
      <c r="C34" s="39" t="s">
        <v>51</v>
      </c>
      <c r="D34" s="39"/>
    </row>
    <row r="35" spans="1:4" ht="14.3" customHeight="1" x14ac:dyDescent="0.25">
      <c r="A35" s="3" t="s">
        <v>60</v>
      </c>
      <c r="B35" s="3"/>
      <c r="C35">
        <f>COUNTA('LISTA DE COMPROBACION - CU0-4'!$C$32:$C$34)</f>
        <v>3</v>
      </c>
      <c r="D35">
        <f>COUNTA('LISTA DE COMPROBACION - CU0-4'!$D$32:$D$34)</f>
        <v>0</v>
      </c>
    </row>
    <row r="36" spans="1:4" ht="14.3" customHeight="1" x14ac:dyDescent="0.25">
      <c r="A36" s="3" t="s">
        <v>61</v>
      </c>
      <c r="B36" s="3"/>
      <c r="C36" s="41">
        <f>C35/3</f>
        <v>1</v>
      </c>
      <c r="D36" s="41">
        <f>D35/3</f>
        <v>0</v>
      </c>
    </row>
    <row r="40" spans="1:4" ht="14.3" customHeight="1" x14ac:dyDescent="0.35">
      <c r="A40" s="1" t="s">
        <v>72</v>
      </c>
      <c r="B40" s="1"/>
      <c r="C40" s="1"/>
    </row>
    <row r="41" spans="1:4" ht="30.1" customHeight="1" x14ac:dyDescent="0.25">
      <c r="B41" s="27" t="s">
        <v>73</v>
      </c>
      <c r="C41">
        <v>89</v>
      </c>
    </row>
    <row r="42" spans="1:4" ht="30.1" customHeight="1" x14ac:dyDescent="0.25">
      <c r="B42" s="27" t="s">
        <v>62</v>
      </c>
      <c r="C42">
        <v>80</v>
      </c>
    </row>
    <row r="43" spans="1:4" ht="30.1" customHeight="1" x14ac:dyDescent="0.25">
      <c r="B43" s="27" t="s">
        <v>68</v>
      </c>
      <c r="C43">
        <v>100</v>
      </c>
    </row>
  </sheetData>
  <mergeCells count="14">
    <mergeCell ref="A30:D30"/>
    <mergeCell ref="A35:B35"/>
    <mergeCell ref="A36:B36"/>
    <mergeCell ref="A40:C40"/>
    <mergeCell ref="A17:B17"/>
    <mergeCell ref="A18:B18"/>
    <mergeCell ref="A20:D20"/>
    <mergeCell ref="A27:B27"/>
    <mergeCell ref="A28:B28"/>
    <mergeCell ref="C1:D1"/>
    <mergeCell ref="C2:D2"/>
    <mergeCell ref="C3:D3"/>
    <mergeCell ref="C4:D4"/>
    <mergeCell ref="A6:D6"/>
  </mergeCells>
  <conditionalFormatting sqref="A32:D34">
    <cfRule type="containsText" dxfId="73" priority="6" operator="containsText" text="X">
      <formula>NOT(ISERROR(SEARCH("X",A32)))</formula>
    </cfRule>
  </conditionalFormatting>
  <conditionalFormatting sqref="C22:C26 C8:D16 C32:D34">
    <cfRule type="containsText" dxfId="72" priority="12" operator="containsText" text="X">
      <formula>NOT(ISERROR(SEARCH("X",C8)))</formula>
    </cfRule>
  </conditionalFormatting>
  <conditionalFormatting sqref="C8:D16 C22:C26 C32:D34">
    <cfRule type="containsText" dxfId="71" priority="7" operator="containsText" text="X">
      <formula>NOT(ISERROR(SEARCH("X",C8)))</formula>
    </cfRule>
    <cfRule type="containsText" dxfId="70" priority="8" operator="containsText" text="X">
      <formula>NOT(ISERROR(SEARCH("X",C8)))</formula>
    </cfRule>
    <cfRule type="containsText" dxfId="69" priority="9" operator="containsText" text="X">
      <formula>NOT(ISERROR(SEARCH("X",C8)))</formula>
    </cfRule>
  </conditionalFormatting>
  <conditionalFormatting sqref="C22:D24 C25 C26:D26">
    <cfRule type="containsText" dxfId="68" priority="10" operator="containsText" text="X">
      <formula>NOT(ISERROR(SEARCH("X",C22)))</formula>
    </cfRule>
    <cfRule type="containsText" dxfId="67" priority="11" operator="containsText" text="X">
      <formula>NOT(ISERROR(SEARCH("X",C22)))</formula>
    </cfRule>
  </conditionalFormatting>
  <conditionalFormatting sqref="D25">
    <cfRule type="containsText" dxfId="66" priority="2" operator="containsText" text="X">
      <formula>NOT(ISERROR(SEARCH("X",D25)))</formula>
    </cfRule>
    <cfRule type="containsText" dxfId="65" priority="3" operator="containsText" text="X">
      <formula>NOT(ISERROR(SEARCH("X",D25)))</formula>
    </cfRule>
    <cfRule type="containsText" dxfId="64" priority="4" operator="containsText" text="X">
      <formula>NOT(ISERROR(SEARCH("X",D25)))</formula>
    </cfRule>
    <cfRule type="containsText" dxfId="63" priority="5" operator="containsText" text="X">
      <formula>NOT(ISERROR(SEARCH("X",D25)))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43"/>
  <sheetViews>
    <sheetView topLeftCell="A31" zoomScaleNormal="100" workbookViewId="0">
      <selection activeCell="C14" sqref="C14"/>
    </sheetView>
  </sheetViews>
  <sheetFormatPr baseColWidth="10" defaultColWidth="14.375" defaultRowHeight="14.3" customHeight="1" x14ac:dyDescent="0.25"/>
  <cols>
    <col min="1" max="1" width="10.75" customWidth="1"/>
    <col min="2" max="2" width="50" customWidth="1"/>
    <col min="3" max="3" width="16.125" customWidth="1"/>
    <col min="4" max="4" width="28.25" customWidth="1"/>
    <col min="5" max="24" width="10.75" customWidth="1"/>
  </cols>
  <sheetData>
    <row r="1" spans="1:26" ht="50.3" customHeight="1" x14ac:dyDescent="0.25">
      <c r="A1" s="27"/>
      <c r="B1" s="28" t="s">
        <v>3</v>
      </c>
      <c r="C1" s="7" t="s">
        <v>4</v>
      </c>
      <c r="D1" s="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29.25" customHeight="1" x14ac:dyDescent="0.35">
      <c r="B2" s="29" t="s">
        <v>41</v>
      </c>
      <c r="C2" s="6">
        <v>46306</v>
      </c>
      <c r="D2" s="6"/>
    </row>
    <row r="3" spans="1:26" ht="23.3" customHeight="1" x14ac:dyDescent="0.35">
      <c r="B3" s="29" t="s">
        <v>42</v>
      </c>
      <c r="C3" s="5" t="s">
        <v>74</v>
      </c>
      <c r="D3" s="5"/>
    </row>
    <row r="4" spans="1:26" ht="21.1" customHeight="1" x14ac:dyDescent="0.35">
      <c r="B4" s="29" t="s">
        <v>44</v>
      </c>
      <c r="C4" s="5" t="s">
        <v>14</v>
      </c>
      <c r="D4" s="5"/>
    </row>
    <row r="6" spans="1:26" ht="41.3" customHeight="1" x14ac:dyDescent="0.25">
      <c r="A6" s="4" t="s">
        <v>45</v>
      </c>
      <c r="B6" s="4"/>
      <c r="C6" s="4"/>
      <c r="D6" s="4"/>
    </row>
    <row r="7" spans="1:26" ht="14.3" customHeight="1" x14ac:dyDescent="0.25">
      <c r="A7" s="30" t="s">
        <v>46</v>
      </c>
      <c r="B7" s="31" t="s">
        <v>47</v>
      </c>
      <c r="C7" s="31" t="s">
        <v>48</v>
      </c>
      <c r="D7" s="32" t="s">
        <v>49</v>
      </c>
    </row>
    <row r="8" spans="1:26" ht="14.3" customHeight="1" x14ac:dyDescent="0.25">
      <c r="A8" s="33">
        <v>1</v>
      </c>
      <c r="B8" s="34" t="s">
        <v>50</v>
      </c>
      <c r="C8" s="35" t="s">
        <v>51</v>
      </c>
      <c r="D8" s="36"/>
    </row>
    <row r="9" spans="1:26" ht="14.3" customHeight="1" x14ac:dyDescent="0.25">
      <c r="A9" s="33">
        <v>2</v>
      </c>
      <c r="B9" s="34" t="s">
        <v>52</v>
      </c>
      <c r="C9" s="35" t="s">
        <v>51</v>
      </c>
      <c r="D9" s="36"/>
    </row>
    <row r="10" spans="1:26" ht="14.3" customHeight="1" x14ac:dyDescent="0.25">
      <c r="A10" s="33">
        <v>3</v>
      </c>
      <c r="B10" s="34" t="s">
        <v>53</v>
      </c>
      <c r="C10" s="35" t="s">
        <v>51</v>
      </c>
      <c r="D10" s="36"/>
    </row>
    <row r="11" spans="1:26" ht="14.3" customHeight="1" x14ac:dyDescent="0.25">
      <c r="A11" s="33">
        <v>4</v>
      </c>
      <c r="B11" s="34" t="s">
        <v>54</v>
      </c>
      <c r="C11" s="35" t="s">
        <v>51</v>
      </c>
      <c r="D11" s="36"/>
    </row>
    <row r="12" spans="1:26" ht="14.3" customHeight="1" x14ac:dyDescent="0.25">
      <c r="A12" s="33">
        <v>5</v>
      </c>
      <c r="B12" s="34" t="s">
        <v>55</v>
      </c>
      <c r="C12" s="35" t="s">
        <v>51</v>
      </c>
      <c r="D12" s="36"/>
    </row>
    <row r="13" spans="1:26" ht="14.3" customHeight="1" x14ac:dyDescent="0.25">
      <c r="A13" s="33">
        <v>6</v>
      </c>
      <c r="B13" s="34" t="s">
        <v>56</v>
      </c>
      <c r="C13" s="35" t="s">
        <v>51</v>
      </c>
      <c r="D13" s="36"/>
    </row>
    <row r="14" spans="1:26" ht="14.3" customHeight="1" x14ac:dyDescent="0.25">
      <c r="A14" s="33">
        <v>7</v>
      </c>
      <c r="B14" s="34" t="s">
        <v>57</v>
      </c>
      <c r="C14" s="35" t="s">
        <v>51</v>
      </c>
      <c r="D14" s="35"/>
    </row>
    <row r="15" spans="1:26" ht="14.3" customHeight="1" x14ac:dyDescent="0.25">
      <c r="A15" s="33">
        <v>8</v>
      </c>
      <c r="B15" s="34" t="s">
        <v>58</v>
      </c>
      <c r="C15" s="35" t="s">
        <v>51</v>
      </c>
      <c r="D15" s="36"/>
    </row>
    <row r="16" spans="1:26" ht="28.55" customHeight="1" x14ac:dyDescent="0.25">
      <c r="A16" s="37">
        <v>9</v>
      </c>
      <c r="B16" s="38" t="s">
        <v>59</v>
      </c>
      <c r="C16" s="39"/>
      <c r="D16" s="35" t="s">
        <v>51</v>
      </c>
    </row>
    <row r="17" spans="1:7" ht="14.3" customHeight="1" x14ac:dyDescent="0.25">
      <c r="A17" s="3" t="s">
        <v>60</v>
      </c>
      <c r="B17" s="3"/>
      <c r="C17">
        <f>COUNTA('LISTA DE COMPROBACION - CU0-5'!$C$8:$C$16)</f>
        <v>8</v>
      </c>
      <c r="D17">
        <f>COUNTA('LISTA DE COMPROBACION - CU0-5'!$D$8:$D$16)</f>
        <v>1</v>
      </c>
    </row>
    <row r="18" spans="1:7" ht="14.3" customHeight="1" x14ac:dyDescent="0.25">
      <c r="A18" s="3" t="s">
        <v>61</v>
      </c>
      <c r="B18" s="3"/>
      <c r="C18" s="41">
        <f>C17/9</f>
        <v>0.88888888888888884</v>
      </c>
      <c r="D18" s="41">
        <f>D17/9</f>
        <v>0.1111111111111111</v>
      </c>
    </row>
    <row r="19" spans="1:7" ht="14.3" customHeight="1" x14ac:dyDescent="0.25">
      <c r="A19" s="40"/>
      <c r="B19" s="40"/>
      <c r="C19" s="41"/>
    </row>
    <row r="20" spans="1:7" ht="55.55" customHeight="1" x14ac:dyDescent="0.25">
      <c r="A20" s="2" t="s">
        <v>62</v>
      </c>
      <c r="B20" s="2"/>
      <c r="C20" s="2"/>
      <c r="D20" s="2"/>
    </row>
    <row r="21" spans="1:7" ht="14.3" customHeight="1" x14ac:dyDescent="0.25">
      <c r="A21" s="42" t="s">
        <v>46</v>
      </c>
      <c r="B21" s="43" t="s">
        <v>47</v>
      </c>
      <c r="C21" s="44" t="s">
        <v>48</v>
      </c>
      <c r="D21" s="45" t="s">
        <v>49</v>
      </c>
    </row>
    <row r="22" spans="1:7" ht="14.3" customHeight="1" x14ac:dyDescent="0.25">
      <c r="A22" s="33">
        <v>1</v>
      </c>
      <c r="B22" s="34" t="s">
        <v>63</v>
      </c>
      <c r="C22" s="35" t="s">
        <v>51</v>
      </c>
      <c r="D22" s="36"/>
    </row>
    <row r="23" spans="1:7" ht="14.3" customHeight="1" x14ac:dyDescent="0.25">
      <c r="A23" s="33">
        <v>2</v>
      </c>
      <c r="B23" s="34" t="s">
        <v>64</v>
      </c>
      <c r="C23" s="35" t="s">
        <v>51</v>
      </c>
      <c r="D23" s="36"/>
    </row>
    <row r="24" spans="1:7" ht="14.3" customHeight="1" x14ac:dyDescent="0.25">
      <c r="A24" s="33">
        <v>3</v>
      </c>
      <c r="B24" s="34" t="s">
        <v>65</v>
      </c>
      <c r="C24" s="35" t="s">
        <v>51</v>
      </c>
    </row>
    <row r="25" spans="1:7" ht="14.3" customHeight="1" x14ac:dyDescent="0.25">
      <c r="A25" s="33">
        <v>4</v>
      </c>
      <c r="B25" s="34" t="s">
        <v>66</v>
      </c>
      <c r="C25" s="35" t="s">
        <v>51</v>
      </c>
      <c r="D25" s="36"/>
    </row>
    <row r="26" spans="1:7" ht="14.3" customHeight="1" x14ac:dyDescent="0.25">
      <c r="A26" s="37">
        <v>5</v>
      </c>
      <c r="B26" s="38" t="s">
        <v>67</v>
      </c>
      <c r="C26" s="35" t="s">
        <v>51</v>
      </c>
      <c r="D26" s="46"/>
    </row>
    <row r="27" spans="1:7" ht="32.299999999999997" customHeight="1" x14ac:dyDescent="0.25">
      <c r="A27" s="3" t="s">
        <v>60</v>
      </c>
      <c r="B27" s="3"/>
      <c r="C27">
        <f>COUNTA('LISTA DE COMPROBACION - CU0-5'!$C$22:$C$26)</f>
        <v>5</v>
      </c>
      <c r="D27">
        <f>COUNTA('LISTA DE COMPROBACION - CU0-5'!$D$22:$D$26)</f>
        <v>0</v>
      </c>
      <c r="G27" s="47"/>
    </row>
    <row r="28" spans="1:7" ht="14.3" customHeight="1" x14ac:dyDescent="0.25">
      <c r="A28" s="3" t="s">
        <v>61</v>
      </c>
      <c r="B28" s="3"/>
      <c r="C28" s="41">
        <f>C27/5</f>
        <v>1</v>
      </c>
      <c r="D28" s="41">
        <f>D27/5</f>
        <v>0</v>
      </c>
    </row>
    <row r="29" spans="1:7" ht="14.3" customHeight="1" x14ac:dyDescent="0.25">
      <c r="A29" s="40"/>
      <c r="B29" s="40"/>
      <c r="C29" s="41"/>
    </row>
    <row r="30" spans="1:7" ht="48.75" customHeight="1" x14ac:dyDescent="0.25">
      <c r="A30" s="4" t="s">
        <v>68</v>
      </c>
      <c r="B30" s="4"/>
      <c r="C30" s="4"/>
      <c r="D30" s="4"/>
    </row>
    <row r="31" spans="1:7" ht="14.3" customHeight="1" x14ac:dyDescent="0.25">
      <c r="A31" s="42" t="s">
        <v>46</v>
      </c>
      <c r="B31" s="43" t="s">
        <v>47</v>
      </c>
      <c r="C31" s="44" t="s">
        <v>48</v>
      </c>
      <c r="D31" s="45" t="s">
        <v>49</v>
      </c>
    </row>
    <row r="32" spans="1:7" ht="14.3" customHeight="1" x14ac:dyDescent="0.25">
      <c r="A32" s="33">
        <v>1</v>
      </c>
      <c r="B32" s="34" t="s">
        <v>69</v>
      </c>
      <c r="C32" s="35" t="s">
        <v>51</v>
      </c>
      <c r="D32" s="39"/>
    </row>
    <row r="33" spans="1:4" ht="14.3" customHeight="1" x14ac:dyDescent="0.25">
      <c r="A33" s="33">
        <v>2</v>
      </c>
      <c r="B33" s="34" t="s">
        <v>70</v>
      </c>
      <c r="C33" s="35" t="s">
        <v>51</v>
      </c>
      <c r="D33" s="39"/>
    </row>
    <row r="34" spans="1:4" ht="14.3" customHeight="1" x14ac:dyDescent="0.25">
      <c r="A34" s="33">
        <v>3</v>
      </c>
      <c r="B34" s="38" t="s">
        <v>71</v>
      </c>
      <c r="C34" s="35" t="s">
        <v>51</v>
      </c>
      <c r="D34" s="39"/>
    </row>
    <row r="35" spans="1:4" ht="14.3" customHeight="1" x14ac:dyDescent="0.25">
      <c r="A35" s="3" t="s">
        <v>60</v>
      </c>
      <c r="B35" s="3"/>
      <c r="C35">
        <f>COUNTA('LISTA DE COMPROBACION - CU0-5'!$C$32:$C$34)</f>
        <v>3</v>
      </c>
      <c r="D35">
        <f>COUNTA('LISTA DE COMPROBACION - CU0-5'!$D$32:$D$34)</f>
        <v>0</v>
      </c>
    </row>
    <row r="36" spans="1:4" ht="14.3" customHeight="1" x14ac:dyDescent="0.25">
      <c r="A36" s="3" t="s">
        <v>61</v>
      </c>
      <c r="B36" s="3"/>
      <c r="C36" s="41">
        <f>C35/3</f>
        <v>1</v>
      </c>
      <c r="D36" s="41">
        <f>D35/3</f>
        <v>0</v>
      </c>
    </row>
    <row r="40" spans="1:4" ht="14.3" customHeight="1" x14ac:dyDescent="0.35">
      <c r="A40" s="1" t="s">
        <v>72</v>
      </c>
      <c r="B40" s="1"/>
      <c r="C40" s="1"/>
    </row>
    <row r="41" spans="1:4" ht="30.1" customHeight="1" x14ac:dyDescent="0.25">
      <c r="B41" s="27" t="s">
        <v>73</v>
      </c>
      <c r="C41">
        <v>89</v>
      </c>
    </row>
    <row r="42" spans="1:4" ht="30.1" customHeight="1" x14ac:dyDescent="0.25">
      <c r="B42" s="27" t="s">
        <v>62</v>
      </c>
      <c r="C42">
        <v>100</v>
      </c>
    </row>
    <row r="43" spans="1:4" ht="30.1" customHeight="1" x14ac:dyDescent="0.25">
      <c r="B43" s="27" t="s">
        <v>68</v>
      </c>
      <c r="C43">
        <v>100</v>
      </c>
    </row>
  </sheetData>
  <mergeCells count="14">
    <mergeCell ref="A30:D30"/>
    <mergeCell ref="A35:B35"/>
    <mergeCell ref="A36:B36"/>
    <mergeCell ref="A40:C40"/>
    <mergeCell ref="A17:B17"/>
    <mergeCell ref="A18:B18"/>
    <mergeCell ref="A20:D20"/>
    <mergeCell ref="A27:B27"/>
    <mergeCell ref="A28:B28"/>
    <mergeCell ref="C1:D1"/>
    <mergeCell ref="C2:D2"/>
    <mergeCell ref="C3:D3"/>
    <mergeCell ref="C4:D4"/>
    <mergeCell ref="A6:D6"/>
  </mergeCells>
  <conditionalFormatting sqref="B32:B34 D32:D34">
    <cfRule type="containsText" dxfId="62" priority="72" operator="containsText" text="X">
      <formula>NOT(ISERROR(SEARCH("X",B32)))</formula>
    </cfRule>
  </conditionalFormatting>
  <conditionalFormatting sqref="C8:C14">
    <cfRule type="containsText" dxfId="61" priority="49" operator="containsText" text="X">
      <formula>NOT(ISERROR(SEARCH("X",C8)))</formula>
    </cfRule>
    <cfRule type="containsText" dxfId="60" priority="50" operator="containsText" text="X">
      <formula>NOT(ISERROR(SEARCH("X",C8)))</formula>
    </cfRule>
  </conditionalFormatting>
  <conditionalFormatting sqref="C14 D15 C16 D32:D34">
    <cfRule type="containsText" dxfId="59" priority="76" operator="containsText" text="X">
      <formula>NOT(ISERROR(SEARCH("X",C14)))</formula>
    </cfRule>
  </conditionalFormatting>
  <conditionalFormatting sqref="C15">
    <cfRule type="containsText" dxfId="58" priority="40" operator="containsText" text="X">
      <formula>NOT(ISERROR(SEARCH("X",C15)))</formula>
    </cfRule>
    <cfRule type="containsText" dxfId="57" priority="43" operator="containsText" text="X">
      <formula>NOT(ISERROR(SEARCH("X",C15)))</formula>
    </cfRule>
  </conditionalFormatting>
  <conditionalFormatting sqref="C15:C16">
    <cfRule type="containsText" dxfId="56" priority="41" operator="containsText" text="X">
      <formula>NOT(ISERROR(SEARCH("X",C15)))</formula>
    </cfRule>
    <cfRule type="containsText" dxfId="55" priority="42" operator="containsText" text="X">
      <formula>NOT(ISERROR(SEARCH("X",C15)))</formula>
    </cfRule>
  </conditionalFormatting>
  <conditionalFormatting sqref="C22:C26">
    <cfRule type="containsText" dxfId="54" priority="18" operator="containsText" text="X">
      <formula>NOT(ISERROR(SEARCH("X",C22)))</formula>
    </cfRule>
    <cfRule type="containsText" dxfId="53" priority="17" operator="containsText" text="X">
      <formula>NOT(ISERROR(SEARCH("X",C22)))</formula>
    </cfRule>
  </conditionalFormatting>
  <conditionalFormatting sqref="C32:C34">
    <cfRule type="containsText" dxfId="52" priority="4" operator="containsText" text="X">
      <formula>NOT(ISERROR(SEARCH("X",C32)))</formula>
    </cfRule>
    <cfRule type="containsText" dxfId="51" priority="5" operator="containsText" text="X">
      <formula>NOT(ISERROR(SEARCH("X",C32)))</formula>
    </cfRule>
    <cfRule type="containsText" dxfId="50" priority="7" operator="containsText" text="X">
      <formula>NOT(ISERROR(SEARCH("X",C32)))</formula>
    </cfRule>
  </conditionalFormatting>
  <conditionalFormatting sqref="C8:D13">
    <cfRule type="containsText" dxfId="49" priority="48" operator="containsText" text="X">
      <formula>NOT(ISERROR(SEARCH("X",C8)))</formula>
    </cfRule>
    <cfRule type="containsText" dxfId="48" priority="51" operator="containsText" text="X">
      <formula>NOT(ISERROR(SEARCH("X",C8)))</formula>
    </cfRule>
  </conditionalFormatting>
  <conditionalFormatting sqref="C22:D26">
    <cfRule type="containsText" dxfId="47" priority="19" operator="containsText" text="X">
      <formula>NOT(ISERROR(SEARCH("X",C22)))</formula>
    </cfRule>
    <cfRule type="containsText" dxfId="46" priority="16" operator="containsText" text="X">
      <formula>NOT(ISERROR(SEARCH("X",C22)))</formula>
    </cfRule>
  </conditionalFormatting>
  <conditionalFormatting sqref="C32:D34">
    <cfRule type="containsText" dxfId="45" priority="6" operator="containsText" text="X">
      <formula>NOT(ISERROR(SEARCH("X",C32)))</formula>
    </cfRule>
  </conditionalFormatting>
  <conditionalFormatting sqref="D8:D15">
    <cfRule type="containsText" dxfId="44" priority="45" operator="containsText" text="X">
      <formula>NOT(ISERROR(SEARCH("X",D8)))</formula>
    </cfRule>
    <cfRule type="containsText" dxfId="43" priority="46" operator="containsText" text="X">
      <formula>NOT(ISERROR(SEARCH("X",D8)))</formula>
    </cfRule>
  </conditionalFormatting>
  <conditionalFormatting sqref="D14">
    <cfRule type="containsText" dxfId="42" priority="44" operator="containsText" text="X">
      <formula>NOT(ISERROR(SEARCH("X",D14)))</formula>
    </cfRule>
    <cfRule type="containsText" dxfId="41" priority="47" operator="containsText" text="X">
      <formula>NOT(ISERROR(SEARCH("X",D14)))</formula>
    </cfRule>
  </conditionalFormatting>
  <conditionalFormatting sqref="D16">
    <cfRule type="containsText" dxfId="40" priority="39" operator="containsText" text="X">
      <formula>NOT(ISERROR(SEARCH("X",D16)))</formula>
    </cfRule>
    <cfRule type="containsText" dxfId="39" priority="36" operator="containsText" text="X">
      <formula>NOT(ISERROR(SEARCH("X",D16)))</formula>
    </cfRule>
    <cfRule type="containsText" dxfId="38" priority="37" operator="containsText" text="X">
      <formula>NOT(ISERROR(SEARCH("X",D16)))</formula>
    </cfRule>
    <cfRule type="containsText" dxfId="37" priority="38" operator="containsText" text="X">
      <formula>NOT(ISERROR(SEARCH("X",D16)))</formula>
    </cfRule>
  </conditionalFormatting>
  <conditionalFormatting sqref="D32:D34 C14 D15 C16">
    <cfRule type="containsText" dxfId="36" priority="75" operator="containsText" text="X">
      <formula>NOT(ISERROR(SEARCH("X",C14)))</formula>
    </cfRule>
  </conditionalFormatting>
  <conditionalFormatting sqref="D32:D34">
    <cfRule type="containsText" dxfId="35" priority="73" operator="containsText" text="X">
      <formula>NOT(ISERROR(SEARCH("X",D32)))</formula>
    </cfRule>
  </conditionalFormatting>
  <conditionalFormatting sqref="C14">
    <cfRule type="containsText" dxfId="5" priority="1" operator="containsText" text="X">
      <formula>NOT(ISERROR(SEARCH("X",C14)))</formula>
    </cfRule>
    <cfRule type="containsText" dxfId="4" priority="2" operator="containsText" text="X">
      <formula>NOT(ISERROR(SEARCH("X",C14)))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3"/>
  <sheetViews>
    <sheetView topLeftCell="A16" zoomScaleNormal="100" workbookViewId="0">
      <selection activeCell="F58" sqref="F58"/>
    </sheetView>
  </sheetViews>
  <sheetFormatPr baseColWidth="10" defaultColWidth="14.375" defaultRowHeight="14.3" customHeight="1" x14ac:dyDescent="0.25"/>
  <cols>
    <col min="1" max="1" width="10.75" customWidth="1"/>
    <col min="2" max="2" width="39.875" customWidth="1"/>
    <col min="3" max="3" width="43.25" customWidth="1"/>
    <col min="4" max="24" width="10.75" customWidth="1"/>
  </cols>
  <sheetData>
    <row r="1" spans="1:26" ht="50.3" customHeight="1" x14ac:dyDescent="0.25">
      <c r="A1" s="27"/>
      <c r="B1" s="28" t="s">
        <v>3</v>
      </c>
      <c r="C1" s="7" t="s">
        <v>4</v>
      </c>
      <c r="D1" s="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3" customHeight="1" x14ac:dyDescent="0.35">
      <c r="B2" s="29" t="s">
        <v>41</v>
      </c>
      <c r="C2" s="6">
        <v>46303</v>
      </c>
      <c r="D2" s="6"/>
    </row>
    <row r="3" spans="1:26" ht="18" customHeight="1" x14ac:dyDescent="0.35">
      <c r="B3" s="29" t="s">
        <v>42</v>
      </c>
      <c r="C3" s="5" t="s">
        <v>75</v>
      </c>
      <c r="D3" s="5"/>
    </row>
    <row r="4" spans="1:26" ht="29.25" customHeight="1" x14ac:dyDescent="0.35">
      <c r="B4" s="29" t="s">
        <v>44</v>
      </c>
      <c r="C4" s="5" t="s">
        <v>15</v>
      </c>
      <c r="D4" s="5"/>
    </row>
    <row r="6" spans="1:26" ht="21.1" customHeight="1" x14ac:dyDescent="0.25">
      <c r="A6" s="4" t="s">
        <v>45</v>
      </c>
      <c r="B6" s="4"/>
      <c r="C6" s="4"/>
      <c r="D6" s="4"/>
    </row>
    <row r="7" spans="1:26" ht="23.3" customHeight="1" x14ac:dyDescent="0.25">
      <c r="A7" s="30" t="s">
        <v>46</v>
      </c>
      <c r="B7" s="31" t="s">
        <v>47</v>
      </c>
      <c r="C7" s="31" t="s">
        <v>48</v>
      </c>
      <c r="D7" s="32" t="s">
        <v>49</v>
      </c>
    </row>
    <row r="8" spans="1:26" ht="17.350000000000001" customHeight="1" x14ac:dyDescent="0.25">
      <c r="A8" s="33">
        <v>1</v>
      </c>
      <c r="B8" s="34" t="s">
        <v>50</v>
      </c>
      <c r="C8" s="35" t="s">
        <v>51</v>
      </c>
      <c r="D8" s="36"/>
    </row>
    <row r="9" spans="1:26" ht="14.3" customHeight="1" x14ac:dyDescent="0.25">
      <c r="A9" s="33">
        <v>2</v>
      </c>
      <c r="B9" s="34" t="s">
        <v>52</v>
      </c>
      <c r="C9" s="35" t="s">
        <v>51</v>
      </c>
      <c r="D9" s="36"/>
    </row>
    <row r="10" spans="1:26" ht="14.3" customHeight="1" x14ac:dyDescent="0.25">
      <c r="A10" s="33">
        <v>3</v>
      </c>
      <c r="B10" s="34" t="s">
        <v>53</v>
      </c>
      <c r="C10" s="35" t="s">
        <v>51</v>
      </c>
      <c r="D10" s="36"/>
    </row>
    <row r="11" spans="1:26" ht="14.3" customHeight="1" x14ac:dyDescent="0.25">
      <c r="A11" s="33">
        <v>4</v>
      </c>
      <c r="B11" s="34" t="s">
        <v>54</v>
      </c>
      <c r="C11" s="35" t="s">
        <v>51</v>
      </c>
      <c r="D11" s="36"/>
    </row>
    <row r="12" spans="1:26" ht="14.3" customHeight="1" x14ac:dyDescent="0.25">
      <c r="A12" s="33">
        <v>5</v>
      </c>
      <c r="B12" s="34" t="s">
        <v>55</v>
      </c>
      <c r="C12" s="35" t="s">
        <v>51</v>
      </c>
      <c r="D12" s="36"/>
    </row>
    <row r="13" spans="1:26" ht="14.3" customHeight="1" x14ac:dyDescent="0.25">
      <c r="A13" s="33">
        <v>6</v>
      </c>
      <c r="B13" s="34" t="s">
        <v>56</v>
      </c>
      <c r="C13" s="35" t="s">
        <v>51</v>
      </c>
      <c r="D13" s="36"/>
    </row>
    <row r="14" spans="1:26" ht="14.3" customHeight="1" x14ac:dyDescent="0.25">
      <c r="A14" s="33">
        <v>7</v>
      </c>
      <c r="B14" s="34" t="s">
        <v>57</v>
      </c>
      <c r="C14" s="35" t="s">
        <v>51</v>
      </c>
      <c r="D14" s="35"/>
    </row>
    <row r="15" spans="1:26" ht="14.3" customHeight="1" x14ac:dyDescent="0.25">
      <c r="A15" s="33">
        <v>8</v>
      </c>
      <c r="B15" s="34" t="s">
        <v>58</v>
      </c>
      <c r="C15" s="35" t="s">
        <v>51</v>
      </c>
      <c r="D15" s="36"/>
    </row>
    <row r="16" spans="1:26" ht="14.3" customHeight="1" x14ac:dyDescent="0.25">
      <c r="A16" s="37">
        <v>9</v>
      </c>
      <c r="B16" s="38" t="s">
        <v>59</v>
      </c>
      <c r="C16" s="39"/>
      <c r="D16" s="39" t="s">
        <v>51</v>
      </c>
    </row>
    <row r="17" spans="1:4" ht="14.3" customHeight="1" x14ac:dyDescent="0.25">
      <c r="A17" s="3" t="s">
        <v>60</v>
      </c>
      <c r="B17" s="3"/>
      <c r="C17">
        <f>COUNTA('LISTA DE COMPROBACION - CU0-6'!$C$8:$C$16)</f>
        <v>8</v>
      </c>
      <c r="D17">
        <f>COUNTA('LISTA DE COMPROBACION - CU0-6'!$D$8:$D$16)</f>
        <v>1</v>
      </c>
    </row>
    <row r="18" spans="1:4" ht="14.3" customHeight="1" x14ac:dyDescent="0.25">
      <c r="A18" s="3" t="s">
        <v>61</v>
      </c>
      <c r="B18" s="3"/>
      <c r="C18" s="41">
        <f>C17/9</f>
        <v>0.88888888888888884</v>
      </c>
      <c r="D18" s="41">
        <f>D17/9</f>
        <v>0.1111111111111111</v>
      </c>
    </row>
    <row r="19" spans="1:4" ht="14.3" customHeight="1" x14ac:dyDescent="0.25">
      <c r="A19" s="40"/>
      <c r="B19" s="40"/>
      <c r="C19" s="41"/>
    </row>
    <row r="20" spans="1:4" ht="14.3" customHeight="1" x14ac:dyDescent="0.25">
      <c r="A20" s="2" t="s">
        <v>62</v>
      </c>
      <c r="B20" s="2"/>
      <c r="C20" s="2"/>
      <c r="D20" s="2"/>
    </row>
    <row r="21" spans="1:4" ht="14.3" customHeight="1" x14ac:dyDescent="0.25">
      <c r="A21" s="42" t="s">
        <v>46</v>
      </c>
      <c r="B21" s="43" t="s">
        <v>47</v>
      </c>
      <c r="C21" s="44" t="s">
        <v>48</v>
      </c>
      <c r="D21" s="45" t="s">
        <v>49</v>
      </c>
    </row>
    <row r="22" spans="1:4" ht="14.3" customHeight="1" x14ac:dyDescent="0.25">
      <c r="A22" s="33">
        <v>1</v>
      </c>
      <c r="B22" s="34" t="s">
        <v>63</v>
      </c>
      <c r="C22" s="39" t="s">
        <v>51</v>
      </c>
      <c r="D22" s="36"/>
    </row>
    <row r="23" spans="1:4" ht="14.3" customHeight="1" x14ac:dyDescent="0.25">
      <c r="A23" s="33">
        <v>2</v>
      </c>
      <c r="B23" s="34" t="s">
        <v>64</v>
      </c>
      <c r="C23" s="39" t="s">
        <v>51</v>
      </c>
      <c r="D23" s="36"/>
    </row>
    <row r="24" spans="1:4" ht="14.3" customHeight="1" x14ac:dyDescent="0.25">
      <c r="A24" s="33">
        <v>3</v>
      </c>
      <c r="B24" s="34" t="s">
        <v>65</v>
      </c>
      <c r="C24" s="39" t="s">
        <v>51</v>
      </c>
      <c r="D24" s="36"/>
    </row>
    <row r="25" spans="1:4" ht="14.3" customHeight="1" x14ac:dyDescent="0.25">
      <c r="A25" s="33">
        <v>4</v>
      </c>
      <c r="B25" s="34" t="s">
        <v>66</v>
      </c>
      <c r="C25" s="39" t="s">
        <v>51</v>
      </c>
      <c r="D25" s="36"/>
    </row>
    <row r="26" spans="1:4" ht="14.3" customHeight="1" x14ac:dyDescent="0.25">
      <c r="A26" s="37">
        <v>5</v>
      </c>
      <c r="B26" s="38" t="s">
        <v>67</v>
      </c>
      <c r="C26" s="39" t="s">
        <v>51</v>
      </c>
      <c r="D26" s="46"/>
    </row>
    <row r="27" spans="1:4" ht="14.3" customHeight="1" x14ac:dyDescent="0.25">
      <c r="A27" s="3" t="s">
        <v>60</v>
      </c>
      <c r="B27" s="3"/>
      <c r="C27">
        <f>COUNTA('LISTA DE COMPROBACION - CU0-6'!$C$22:$C$26)</f>
        <v>5</v>
      </c>
      <c r="D27">
        <f>COUNTA('LISTA DE COMPROBACION - CU0-6'!$D$22:$D$26)</f>
        <v>0</v>
      </c>
    </row>
    <row r="28" spans="1:4" ht="14.3" customHeight="1" x14ac:dyDescent="0.25">
      <c r="A28" s="3" t="s">
        <v>61</v>
      </c>
      <c r="B28" s="3"/>
      <c r="C28" s="41">
        <f>C27/5</f>
        <v>1</v>
      </c>
      <c r="D28" s="41">
        <f>D27/5</f>
        <v>0</v>
      </c>
    </row>
    <row r="29" spans="1:4" ht="14.3" customHeight="1" x14ac:dyDescent="0.25">
      <c r="A29" s="40"/>
      <c r="B29" s="40"/>
      <c r="C29" s="41"/>
    </row>
    <row r="30" spans="1:4" ht="14.3" customHeight="1" x14ac:dyDescent="0.25">
      <c r="A30" s="4" t="s">
        <v>68</v>
      </c>
      <c r="B30" s="4"/>
      <c r="C30" s="4"/>
      <c r="D30" s="4"/>
    </row>
    <row r="31" spans="1:4" ht="14.3" customHeight="1" x14ac:dyDescent="0.25">
      <c r="A31" s="42" t="s">
        <v>46</v>
      </c>
      <c r="B31" s="43" t="s">
        <v>47</v>
      </c>
      <c r="C31" s="44" t="s">
        <v>48</v>
      </c>
      <c r="D31" s="45" t="s">
        <v>49</v>
      </c>
    </row>
    <row r="32" spans="1:4" ht="14.3" customHeight="1" x14ac:dyDescent="0.25">
      <c r="A32" s="33">
        <v>1</v>
      </c>
      <c r="B32" s="34" t="s">
        <v>69</v>
      </c>
      <c r="C32" s="39" t="s">
        <v>51</v>
      </c>
      <c r="D32" s="39"/>
    </row>
    <row r="33" spans="1:4" ht="14.3" customHeight="1" x14ac:dyDescent="0.25">
      <c r="A33" s="33">
        <v>2</v>
      </c>
      <c r="B33" s="34" t="s">
        <v>70</v>
      </c>
      <c r="C33" s="39" t="s">
        <v>51</v>
      </c>
      <c r="D33" s="39"/>
    </row>
    <row r="34" spans="1:4" ht="14.3" customHeight="1" x14ac:dyDescent="0.25">
      <c r="A34" s="37">
        <v>3</v>
      </c>
      <c r="B34" s="38" t="s">
        <v>71</v>
      </c>
      <c r="C34" s="39" t="s">
        <v>51</v>
      </c>
      <c r="D34" s="39"/>
    </row>
    <row r="35" spans="1:4" ht="14.3" customHeight="1" x14ac:dyDescent="0.25">
      <c r="A35" s="3" t="s">
        <v>60</v>
      </c>
      <c r="B35" s="3"/>
      <c r="C35">
        <f>COUNTA('LISTA DE COMPROBACION - CU0-6'!$C$32:$C$34)</f>
        <v>3</v>
      </c>
      <c r="D35">
        <f>COUNTA('LISTA DE COMPROBACION - CU0-6'!$D$32:$D$34)</f>
        <v>0</v>
      </c>
    </row>
    <row r="36" spans="1:4" ht="14.3" customHeight="1" x14ac:dyDescent="0.25">
      <c r="A36" s="3" t="s">
        <v>61</v>
      </c>
      <c r="B36" s="3"/>
      <c r="C36" s="41">
        <f>C35/3</f>
        <v>1</v>
      </c>
      <c r="D36" s="41">
        <f>D35/3</f>
        <v>0</v>
      </c>
    </row>
    <row r="40" spans="1:4" ht="14.3" customHeight="1" x14ac:dyDescent="0.35">
      <c r="A40" s="1" t="s">
        <v>72</v>
      </c>
      <c r="B40" s="1"/>
      <c r="C40" s="1"/>
    </row>
    <row r="41" spans="1:4" ht="30.1" customHeight="1" x14ac:dyDescent="0.25">
      <c r="B41" s="27" t="s">
        <v>73</v>
      </c>
      <c r="C41">
        <v>89</v>
      </c>
    </row>
    <row r="42" spans="1:4" ht="30.1" customHeight="1" x14ac:dyDescent="0.25">
      <c r="B42" s="27" t="s">
        <v>62</v>
      </c>
      <c r="C42">
        <v>100</v>
      </c>
    </row>
    <row r="43" spans="1:4" ht="30.1" customHeight="1" x14ac:dyDescent="0.25">
      <c r="B43" s="27" t="s">
        <v>68</v>
      </c>
      <c r="C43">
        <v>100</v>
      </c>
    </row>
  </sheetData>
  <mergeCells count="14">
    <mergeCell ref="A30:D30"/>
    <mergeCell ref="A35:B35"/>
    <mergeCell ref="A36:B36"/>
    <mergeCell ref="A40:C40"/>
    <mergeCell ref="A17:B17"/>
    <mergeCell ref="A18:B18"/>
    <mergeCell ref="A20:D20"/>
    <mergeCell ref="A27:B27"/>
    <mergeCell ref="A28:B28"/>
    <mergeCell ref="C1:D1"/>
    <mergeCell ref="C2:D2"/>
    <mergeCell ref="C3:D3"/>
    <mergeCell ref="C4:D4"/>
    <mergeCell ref="A6:D6"/>
  </mergeCells>
  <conditionalFormatting sqref="A32:D34">
    <cfRule type="containsText" dxfId="34" priority="2" operator="containsText" text="X">
      <formula>NOT(ISERROR(SEARCH("X",A32)))</formula>
    </cfRule>
  </conditionalFormatting>
  <conditionalFormatting sqref="C22:C26 C8:D16 C32:D34">
    <cfRule type="containsText" dxfId="33" priority="8" operator="containsText" text="X">
      <formula>NOT(ISERROR(SEARCH("X",C8)))</formula>
    </cfRule>
  </conditionalFormatting>
  <conditionalFormatting sqref="C8:D16 C22:C26 C32:D34">
    <cfRule type="containsText" dxfId="32" priority="3" operator="containsText" text="X">
      <formula>NOT(ISERROR(SEARCH("X",C8)))</formula>
    </cfRule>
    <cfRule type="containsText" dxfId="31" priority="4" operator="containsText" text="X">
      <formula>NOT(ISERROR(SEARCH("X",C8)))</formula>
    </cfRule>
    <cfRule type="containsText" dxfId="30" priority="5" operator="containsText" text="X">
      <formula>NOT(ISERROR(SEARCH("X",C8)))</formula>
    </cfRule>
  </conditionalFormatting>
  <conditionalFormatting sqref="C22:D26">
    <cfRule type="containsText" dxfId="29" priority="6" operator="containsText" text="X">
      <formula>NOT(ISERROR(SEARCH("X",C22)))</formula>
    </cfRule>
    <cfRule type="containsText" dxfId="28" priority="7" operator="containsText" text="X">
      <formula>NOT(ISERROR(SEARCH("X",C22)))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43"/>
  <sheetViews>
    <sheetView zoomScaleNormal="100" workbookViewId="0">
      <selection activeCell="A22" sqref="A22"/>
    </sheetView>
  </sheetViews>
  <sheetFormatPr baseColWidth="10" defaultColWidth="14.375" defaultRowHeight="14.3" customHeight="1" x14ac:dyDescent="0.25"/>
  <cols>
    <col min="1" max="1" width="10.75" customWidth="1"/>
    <col min="2" max="2" width="39.875" customWidth="1"/>
    <col min="3" max="3" width="43.25" customWidth="1"/>
    <col min="4" max="24" width="10.75" customWidth="1"/>
  </cols>
  <sheetData>
    <row r="1" spans="1:26" ht="50.3" customHeight="1" x14ac:dyDescent="0.25">
      <c r="A1" s="27"/>
      <c r="B1" s="28" t="s">
        <v>3</v>
      </c>
      <c r="C1" s="7" t="s">
        <v>4</v>
      </c>
      <c r="D1" s="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3" customHeight="1" x14ac:dyDescent="0.35">
      <c r="B2" s="29" t="s">
        <v>41</v>
      </c>
      <c r="C2" s="6">
        <v>46305</v>
      </c>
      <c r="D2" s="6"/>
    </row>
    <row r="3" spans="1:26" ht="18" customHeight="1" x14ac:dyDescent="0.35">
      <c r="B3" s="29" t="s">
        <v>42</v>
      </c>
      <c r="C3" s="5" t="s">
        <v>75</v>
      </c>
      <c r="D3" s="5"/>
    </row>
    <row r="4" spans="1:26" ht="29.25" customHeight="1" x14ac:dyDescent="0.35">
      <c r="B4" s="29" t="s">
        <v>44</v>
      </c>
      <c r="C4" s="5" t="s">
        <v>16</v>
      </c>
      <c r="D4" s="5"/>
    </row>
    <row r="6" spans="1:26" ht="21.1" customHeight="1" x14ac:dyDescent="0.25">
      <c r="A6" s="4" t="s">
        <v>45</v>
      </c>
      <c r="B6" s="4"/>
      <c r="C6" s="4"/>
      <c r="D6" s="4"/>
    </row>
    <row r="7" spans="1:26" ht="23.3" customHeight="1" x14ac:dyDescent="0.25">
      <c r="A7" s="30" t="s">
        <v>46</v>
      </c>
      <c r="B7" s="31" t="s">
        <v>47</v>
      </c>
      <c r="C7" s="31" t="s">
        <v>48</v>
      </c>
      <c r="D7" s="32" t="s">
        <v>49</v>
      </c>
    </row>
    <row r="8" spans="1:26" ht="17.350000000000001" customHeight="1" x14ac:dyDescent="0.25">
      <c r="A8" s="33">
        <v>1</v>
      </c>
      <c r="B8" s="34" t="s">
        <v>50</v>
      </c>
      <c r="C8" s="35" t="s">
        <v>51</v>
      </c>
      <c r="D8" s="36"/>
    </row>
    <row r="9" spans="1:26" ht="14.3" customHeight="1" x14ac:dyDescent="0.25">
      <c r="A9" s="33">
        <v>2</v>
      </c>
      <c r="B9" s="34" t="s">
        <v>52</v>
      </c>
      <c r="C9" s="35" t="s">
        <v>51</v>
      </c>
      <c r="D9" s="36"/>
    </row>
    <row r="10" spans="1:26" ht="14.3" customHeight="1" x14ac:dyDescent="0.25">
      <c r="A10" s="33">
        <v>3</v>
      </c>
      <c r="B10" s="34" t="s">
        <v>53</v>
      </c>
      <c r="C10" s="35" t="s">
        <v>51</v>
      </c>
      <c r="D10" s="36"/>
    </row>
    <row r="11" spans="1:26" ht="14.3" customHeight="1" x14ac:dyDescent="0.25">
      <c r="A11" s="33">
        <v>4</v>
      </c>
      <c r="B11" s="34" t="s">
        <v>54</v>
      </c>
      <c r="C11" s="35" t="s">
        <v>51</v>
      </c>
      <c r="D11" s="36"/>
    </row>
    <row r="12" spans="1:26" ht="14.3" customHeight="1" x14ac:dyDescent="0.25">
      <c r="A12" s="33">
        <v>5</v>
      </c>
      <c r="B12" s="34" t="s">
        <v>55</v>
      </c>
      <c r="C12" s="35" t="s">
        <v>51</v>
      </c>
      <c r="D12" s="36"/>
    </row>
    <row r="13" spans="1:26" ht="14.3" customHeight="1" x14ac:dyDescent="0.25">
      <c r="A13" s="33">
        <v>6</v>
      </c>
      <c r="B13" s="34" t="s">
        <v>56</v>
      </c>
      <c r="C13" s="35" t="s">
        <v>51</v>
      </c>
      <c r="D13" s="36"/>
    </row>
    <row r="14" spans="1:26" ht="14.3" customHeight="1" x14ac:dyDescent="0.25">
      <c r="A14" s="33">
        <v>7</v>
      </c>
      <c r="B14" s="34" t="s">
        <v>57</v>
      </c>
      <c r="C14" s="35" t="s">
        <v>51</v>
      </c>
      <c r="D14" s="35"/>
    </row>
    <row r="15" spans="1:26" ht="14.3" customHeight="1" x14ac:dyDescent="0.25">
      <c r="A15" s="33">
        <v>8</v>
      </c>
      <c r="B15" s="34" t="s">
        <v>58</v>
      </c>
      <c r="C15" s="35" t="s">
        <v>51</v>
      </c>
      <c r="D15" s="36"/>
    </row>
    <row r="16" spans="1:26" ht="14.3" customHeight="1" x14ac:dyDescent="0.25">
      <c r="A16" s="37">
        <v>9</v>
      </c>
      <c r="B16" s="38" t="s">
        <v>59</v>
      </c>
      <c r="C16" s="39"/>
      <c r="D16" s="39" t="s">
        <v>51</v>
      </c>
    </row>
    <row r="17" spans="1:4" ht="14.3" customHeight="1" x14ac:dyDescent="0.25">
      <c r="A17" s="3" t="s">
        <v>60</v>
      </c>
      <c r="B17" s="3"/>
      <c r="C17">
        <f>COUNTA('LISTA DE COMPROBACION - CU0-7'!$C$8:$C$16)</f>
        <v>8</v>
      </c>
      <c r="D17">
        <f>COUNTA('LISTA DE COMPROBACION - CU0-7'!$D$8:$D$16)</f>
        <v>1</v>
      </c>
    </row>
    <row r="18" spans="1:4" ht="14.3" customHeight="1" x14ac:dyDescent="0.25">
      <c r="A18" s="3" t="s">
        <v>61</v>
      </c>
      <c r="B18" s="3"/>
      <c r="C18" s="41">
        <f>C17/9</f>
        <v>0.88888888888888884</v>
      </c>
      <c r="D18" s="41">
        <f>D17/9</f>
        <v>0.1111111111111111</v>
      </c>
    </row>
    <row r="19" spans="1:4" ht="14.3" customHeight="1" x14ac:dyDescent="0.25">
      <c r="A19" s="40"/>
      <c r="B19" s="40"/>
      <c r="C19" s="41"/>
    </row>
    <row r="20" spans="1:4" ht="14.3" customHeight="1" x14ac:dyDescent="0.25">
      <c r="A20" s="2" t="s">
        <v>62</v>
      </c>
      <c r="B20" s="2"/>
      <c r="C20" s="2"/>
      <c r="D20" s="2"/>
    </row>
    <row r="21" spans="1:4" ht="14.3" customHeight="1" x14ac:dyDescent="0.25">
      <c r="A21" s="42" t="s">
        <v>46</v>
      </c>
      <c r="B21" s="43" t="s">
        <v>47</v>
      </c>
      <c r="C21" s="44" t="s">
        <v>48</v>
      </c>
      <c r="D21" s="45" t="s">
        <v>49</v>
      </c>
    </row>
    <row r="22" spans="1:4" ht="14.3" customHeight="1" x14ac:dyDescent="0.25">
      <c r="A22" s="33">
        <v>1</v>
      </c>
      <c r="B22" s="34" t="s">
        <v>63</v>
      </c>
      <c r="C22" s="39" t="s">
        <v>51</v>
      </c>
      <c r="D22" s="36"/>
    </row>
    <row r="23" spans="1:4" ht="14.3" customHeight="1" x14ac:dyDescent="0.25">
      <c r="A23" s="33">
        <v>2</v>
      </c>
      <c r="B23" s="34" t="s">
        <v>64</v>
      </c>
      <c r="C23" s="39" t="s">
        <v>51</v>
      </c>
      <c r="D23" s="36"/>
    </row>
    <row r="24" spans="1:4" ht="14.3" customHeight="1" x14ac:dyDescent="0.25">
      <c r="A24" s="33">
        <v>3</v>
      </c>
      <c r="B24" s="34" t="s">
        <v>65</v>
      </c>
      <c r="C24" s="39" t="s">
        <v>51</v>
      </c>
      <c r="D24" s="36"/>
    </row>
    <row r="25" spans="1:4" ht="14.3" customHeight="1" x14ac:dyDescent="0.25">
      <c r="A25" s="33">
        <v>4</v>
      </c>
      <c r="B25" s="34" t="s">
        <v>66</v>
      </c>
      <c r="C25" s="39" t="s">
        <v>51</v>
      </c>
      <c r="D25" s="36"/>
    </row>
    <row r="26" spans="1:4" ht="14.3" customHeight="1" x14ac:dyDescent="0.25">
      <c r="A26" s="37">
        <v>5</v>
      </c>
      <c r="B26" s="38" t="s">
        <v>67</v>
      </c>
      <c r="C26" s="39" t="s">
        <v>51</v>
      </c>
      <c r="D26" s="46"/>
    </row>
    <row r="27" spans="1:4" ht="14.3" customHeight="1" x14ac:dyDescent="0.25">
      <c r="A27" s="3" t="s">
        <v>60</v>
      </c>
      <c r="B27" s="3"/>
      <c r="C27">
        <f>COUNTA('LISTA DE COMPROBACION - CU0-7'!$C$22:$C$26)</f>
        <v>5</v>
      </c>
      <c r="D27">
        <f>COUNTA('LISTA DE COMPROBACION - CU0-7'!$D$22:$D$26)</f>
        <v>0</v>
      </c>
    </row>
    <row r="28" spans="1:4" ht="14.3" customHeight="1" x14ac:dyDescent="0.25">
      <c r="A28" s="3" t="s">
        <v>61</v>
      </c>
      <c r="B28" s="3"/>
      <c r="C28" s="41">
        <f>C27/5</f>
        <v>1</v>
      </c>
      <c r="D28" s="41">
        <f>D27/5</f>
        <v>0</v>
      </c>
    </row>
    <row r="29" spans="1:4" ht="14.3" customHeight="1" x14ac:dyDescent="0.25">
      <c r="A29" s="40"/>
      <c r="B29" s="40"/>
      <c r="C29" s="41"/>
    </row>
    <row r="30" spans="1:4" ht="14.3" customHeight="1" x14ac:dyDescent="0.25">
      <c r="A30" s="4" t="s">
        <v>68</v>
      </c>
      <c r="B30" s="4"/>
      <c r="C30" s="4"/>
      <c r="D30" s="4"/>
    </row>
    <row r="31" spans="1:4" ht="14.3" customHeight="1" x14ac:dyDescent="0.25">
      <c r="A31" s="42" t="s">
        <v>46</v>
      </c>
      <c r="B31" s="43" t="s">
        <v>47</v>
      </c>
      <c r="C31" s="44" t="s">
        <v>48</v>
      </c>
      <c r="D31" s="45" t="s">
        <v>49</v>
      </c>
    </row>
    <row r="32" spans="1:4" ht="14.3" customHeight="1" x14ac:dyDescent="0.25">
      <c r="A32" s="33">
        <v>1</v>
      </c>
      <c r="B32" s="34" t="s">
        <v>69</v>
      </c>
      <c r="C32" s="39" t="s">
        <v>51</v>
      </c>
      <c r="D32" s="39"/>
    </row>
    <row r="33" spans="1:4" ht="14.3" customHeight="1" x14ac:dyDescent="0.25">
      <c r="A33" s="33">
        <v>2</v>
      </c>
      <c r="B33" s="34" t="s">
        <v>70</v>
      </c>
      <c r="C33" s="39" t="s">
        <v>51</v>
      </c>
      <c r="D33" s="39"/>
    </row>
    <row r="34" spans="1:4" ht="14.3" customHeight="1" x14ac:dyDescent="0.25">
      <c r="A34" s="37">
        <v>3</v>
      </c>
      <c r="B34" s="38" t="s">
        <v>71</v>
      </c>
      <c r="C34" s="39" t="s">
        <v>51</v>
      </c>
      <c r="D34" s="39"/>
    </row>
    <row r="35" spans="1:4" ht="14.3" customHeight="1" x14ac:dyDescent="0.25">
      <c r="A35" s="3" t="s">
        <v>60</v>
      </c>
      <c r="B35" s="3"/>
      <c r="C35">
        <f>COUNTA('LISTA DE COMPROBACION - CU0-7'!$C$32:$C$34)</f>
        <v>3</v>
      </c>
      <c r="D35">
        <f>COUNTA('LISTA DE COMPROBACION - CU0-7'!$D$32:$D$34)</f>
        <v>0</v>
      </c>
    </row>
    <row r="36" spans="1:4" ht="14.3" customHeight="1" x14ac:dyDescent="0.25">
      <c r="A36" s="3" t="s">
        <v>61</v>
      </c>
      <c r="B36" s="3"/>
      <c r="C36" s="41">
        <f>C35/3</f>
        <v>1</v>
      </c>
      <c r="D36" s="41">
        <f>D35/3</f>
        <v>0</v>
      </c>
    </row>
    <row r="40" spans="1:4" ht="14.3" customHeight="1" x14ac:dyDescent="0.35">
      <c r="A40" s="1" t="s">
        <v>72</v>
      </c>
      <c r="B40" s="1"/>
      <c r="C40" s="1"/>
    </row>
    <row r="41" spans="1:4" ht="30.1" customHeight="1" x14ac:dyDescent="0.25">
      <c r="B41" s="27" t="s">
        <v>73</v>
      </c>
      <c r="C41">
        <v>89</v>
      </c>
    </row>
    <row r="42" spans="1:4" ht="30.1" customHeight="1" x14ac:dyDescent="0.25">
      <c r="B42" s="27" t="s">
        <v>62</v>
      </c>
      <c r="C42">
        <v>100</v>
      </c>
    </row>
    <row r="43" spans="1:4" ht="30.1" customHeight="1" x14ac:dyDescent="0.25">
      <c r="B43" s="27" t="s">
        <v>68</v>
      </c>
      <c r="C43">
        <v>100</v>
      </c>
    </row>
  </sheetData>
  <mergeCells count="14">
    <mergeCell ref="A30:D30"/>
    <mergeCell ref="A35:B35"/>
    <mergeCell ref="A36:B36"/>
    <mergeCell ref="A40:C40"/>
    <mergeCell ref="A17:B17"/>
    <mergeCell ref="A18:B18"/>
    <mergeCell ref="A20:D20"/>
    <mergeCell ref="A27:B27"/>
    <mergeCell ref="A28:B28"/>
    <mergeCell ref="C1:D1"/>
    <mergeCell ref="C2:D2"/>
    <mergeCell ref="C3:D3"/>
    <mergeCell ref="C4:D4"/>
    <mergeCell ref="A6:D6"/>
  </mergeCells>
  <conditionalFormatting sqref="A32:D34">
    <cfRule type="containsText" dxfId="27" priority="2" operator="containsText" text="X">
      <formula>NOT(ISERROR(SEARCH("X",A32)))</formula>
    </cfRule>
  </conditionalFormatting>
  <conditionalFormatting sqref="C22:C26 C8:D16 C32:D34">
    <cfRule type="containsText" dxfId="26" priority="8" operator="containsText" text="X">
      <formula>NOT(ISERROR(SEARCH("X",C8)))</formula>
    </cfRule>
  </conditionalFormatting>
  <conditionalFormatting sqref="C8:D16 C22:C26 C32:D34">
    <cfRule type="containsText" dxfId="25" priority="3" operator="containsText" text="X">
      <formula>NOT(ISERROR(SEARCH("X",C8)))</formula>
    </cfRule>
    <cfRule type="containsText" dxfId="24" priority="4" operator="containsText" text="X">
      <formula>NOT(ISERROR(SEARCH("X",C8)))</formula>
    </cfRule>
    <cfRule type="containsText" dxfId="23" priority="5" operator="containsText" text="X">
      <formula>NOT(ISERROR(SEARCH("X",C8)))</formula>
    </cfRule>
  </conditionalFormatting>
  <conditionalFormatting sqref="C22:D26">
    <cfRule type="containsText" dxfId="22" priority="6" operator="containsText" text="X">
      <formula>NOT(ISERROR(SEARCH("X",C22)))</formula>
    </cfRule>
    <cfRule type="containsText" dxfId="21" priority="7" operator="containsText" text="X">
      <formula>NOT(ISERROR(SEARCH("X",C22)))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2"/>
  <sheetViews>
    <sheetView zoomScaleNormal="100" workbookViewId="0"/>
  </sheetViews>
  <sheetFormatPr baseColWidth="10" defaultColWidth="14.375" defaultRowHeight="14.3" x14ac:dyDescent="0.25"/>
  <cols>
    <col min="1" max="1" width="53.125" customWidth="1"/>
    <col min="2" max="2" width="57.25" customWidth="1"/>
    <col min="3" max="3" width="30.75" customWidth="1"/>
    <col min="4" max="6" width="10.75" customWidth="1"/>
  </cols>
  <sheetData>
    <row r="1" spans="1:3" x14ac:dyDescent="0.25">
      <c r="A1" s="48" t="s">
        <v>76</v>
      </c>
      <c r="B1" s="48" t="s">
        <v>77</v>
      </c>
      <c r="C1" s="48" t="s">
        <v>78</v>
      </c>
    </row>
    <row r="2" spans="1:3" ht="57.1" x14ac:dyDescent="0.25">
      <c r="A2" s="49" t="s">
        <v>79</v>
      </c>
      <c r="B2" s="49" t="s">
        <v>80</v>
      </c>
      <c r="C2" s="49" t="s">
        <v>43</v>
      </c>
    </row>
  </sheetData>
  <pageMargins left="0.7" right="0.7" top="0.75" bottom="0.75" header="0.511811023622047" footer="0.511811023622047"/>
  <pageSetup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2"/>
  <sheetViews>
    <sheetView zoomScaleNormal="100" workbookViewId="0"/>
  </sheetViews>
  <sheetFormatPr baseColWidth="10" defaultColWidth="14.375" defaultRowHeight="14.3" x14ac:dyDescent="0.25"/>
  <cols>
    <col min="1" max="1" width="53.125" customWidth="1"/>
    <col min="2" max="2" width="57.25" customWidth="1"/>
    <col min="3" max="3" width="30.75" customWidth="1"/>
    <col min="4" max="6" width="10.75" customWidth="1"/>
  </cols>
  <sheetData>
    <row r="1" spans="1:3" x14ac:dyDescent="0.25">
      <c r="A1" s="48" t="s">
        <v>76</v>
      </c>
      <c r="B1" s="48" t="s">
        <v>77</v>
      </c>
      <c r="C1" s="48" t="s">
        <v>78</v>
      </c>
    </row>
    <row r="2" spans="1:3" ht="57.1" x14ac:dyDescent="0.25">
      <c r="A2" s="49" t="s">
        <v>79</v>
      </c>
      <c r="B2" s="49" t="s">
        <v>81</v>
      </c>
      <c r="C2" s="49" t="s">
        <v>43</v>
      </c>
    </row>
  </sheetData>
  <pageMargins left="0.7" right="0.7" top="0.75" bottom="0.75" header="0.511811023622047" footer="0.511811023622047"/>
  <pageSetup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2"/>
  <sheetViews>
    <sheetView zoomScaleNormal="100" workbookViewId="0">
      <selection activeCell="A33" sqref="A33"/>
    </sheetView>
  </sheetViews>
  <sheetFormatPr baseColWidth="10" defaultColWidth="14.375" defaultRowHeight="14.3" x14ac:dyDescent="0.25"/>
  <cols>
    <col min="1" max="1" width="53.625" customWidth="1"/>
    <col min="2" max="2" width="57.25" customWidth="1"/>
    <col min="3" max="3" width="30.75" customWidth="1"/>
    <col min="4" max="6" width="10.75" customWidth="1"/>
  </cols>
  <sheetData>
    <row r="1" spans="1:3" x14ac:dyDescent="0.25">
      <c r="A1" s="48" t="s">
        <v>76</v>
      </c>
      <c r="B1" s="48" t="s">
        <v>77</v>
      </c>
      <c r="C1" s="48" t="s">
        <v>78</v>
      </c>
    </row>
    <row r="2" spans="1:3" ht="42.8" x14ac:dyDescent="0.25">
      <c r="A2" s="50" t="s">
        <v>79</v>
      </c>
      <c r="B2" s="51" t="s">
        <v>82</v>
      </c>
      <c r="C2" s="51" t="s">
        <v>74</v>
      </c>
    </row>
  </sheetData>
  <pageMargins left="0.7" right="0.7" top="0.75" bottom="0.75" header="0.511811023622047" footer="0.511811023622047"/>
  <pageSetup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2"/>
  <sheetViews>
    <sheetView zoomScaleNormal="100" workbookViewId="0"/>
  </sheetViews>
  <sheetFormatPr baseColWidth="10" defaultColWidth="14.375" defaultRowHeight="14.3" x14ac:dyDescent="0.25"/>
  <cols>
    <col min="1" max="1" width="53.625" customWidth="1"/>
    <col min="2" max="2" width="57.25" customWidth="1"/>
    <col min="3" max="3" width="30.75" customWidth="1"/>
    <col min="4" max="6" width="10.75" customWidth="1"/>
  </cols>
  <sheetData>
    <row r="1" spans="1:3" x14ac:dyDescent="0.25">
      <c r="A1" s="48" t="s">
        <v>76</v>
      </c>
      <c r="B1" s="48" t="s">
        <v>77</v>
      </c>
      <c r="C1" s="48" t="s">
        <v>78</v>
      </c>
    </row>
    <row r="2" spans="1:3" ht="42.8" x14ac:dyDescent="0.25">
      <c r="A2" s="50" t="s">
        <v>79</v>
      </c>
      <c r="B2" s="51" t="s">
        <v>83</v>
      </c>
      <c r="C2" s="51" t="s">
        <v>74</v>
      </c>
    </row>
  </sheetData>
  <pageMargins left="0.7" right="0.7" top="0.75" bottom="0.75" header="0.511811023622047" footer="0.511811023622047"/>
  <pageSetup orientation="landscape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3"/>
  <sheetViews>
    <sheetView zoomScaleNormal="100" workbookViewId="0"/>
  </sheetViews>
  <sheetFormatPr baseColWidth="10" defaultColWidth="14.375" defaultRowHeight="14.3" x14ac:dyDescent="0.25"/>
  <cols>
    <col min="1" max="1" width="54.125" customWidth="1"/>
    <col min="2" max="2" width="57.25" customWidth="1"/>
    <col min="3" max="3" width="30.75" customWidth="1"/>
    <col min="4" max="6" width="10.75" customWidth="1"/>
  </cols>
  <sheetData>
    <row r="1" spans="1:3" x14ac:dyDescent="0.25">
      <c r="A1" s="48" t="s">
        <v>76</v>
      </c>
      <c r="B1" s="48" t="s">
        <v>77</v>
      </c>
      <c r="C1" s="48" t="s">
        <v>78</v>
      </c>
    </row>
    <row r="2" spans="1:3" ht="71.349999999999994" x14ac:dyDescent="0.25">
      <c r="A2" s="50" t="s">
        <v>84</v>
      </c>
      <c r="B2" s="51" t="s">
        <v>85</v>
      </c>
      <c r="C2" s="51" t="s">
        <v>75</v>
      </c>
    </row>
    <row r="3" spans="1:3" ht="42.8" x14ac:dyDescent="0.25">
      <c r="A3" s="50" t="s">
        <v>79</v>
      </c>
      <c r="B3" s="51" t="s">
        <v>86</v>
      </c>
      <c r="C3" s="51" t="s">
        <v>75</v>
      </c>
    </row>
  </sheetData>
  <pageMargins left="0.7" right="0.7" top="0.75" bottom="0.75" header="0.511811023622047" footer="0.511811023622047"/>
  <pageSetup orientation="landscape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2"/>
  <sheetViews>
    <sheetView zoomScaleNormal="100" workbookViewId="0"/>
  </sheetViews>
  <sheetFormatPr baseColWidth="10" defaultColWidth="14.375" defaultRowHeight="14.3" x14ac:dyDescent="0.25"/>
  <cols>
    <col min="1" max="1" width="53.625" customWidth="1"/>
    <col min="2" max="2" width="57.25" customWidth="1"/>
    <col min="3" max="3" width="30.75" customWidth="1"/>
    <col min="4" max="6" width="10.75" customWidth="1"/>
  </cols>
  <sheetData>
    <row r="1" spans="1:3" x14ac:dyDescent="0.25">
      <c r="A1" s="48" t="s">
        <v>76</v>
      </c>
      <c r="B1" s="48" t="s">
        <v>77</v>
      </c>
      <c r="C1" s="48" t="s">
        <v>78</v>
      </c>
    </row>
    <row r="2" spans="1:3" ht="42.8" x14ac:dyDescent="0.25">
      <c r="A2" s="50" t="s">
        <v>79</v>
      </c>
      <c r="B2" s="51" t="s">
        <v>87</v>
      </c>
      <c r="C2" s="51" t="s">
        <v>74</v>
      </c>
    </row>
  </sheetData>
  <pageMargins left="0.7" right="0.7" top="0.75" bottom="0.75" header="0.511811023622047" footer="0.511811023622047"/>
  <pageSetup orientation="landscape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2"/>
  <sheetViews>
    <sheetView zoomScaleNormal="100" workbookViewId="0"/>
  </sheetViews>
  <sheetFormatPr baseColWidth="10" defaultColWidth="14.375" defaultRowHeight="14.3" x14ac:dyDescent="0.25"/>
  <cols>
    <col min="1" max="1" width="54.125" customWidth="1"/>
    <col min="2" max="2" width="57.25" customWidth="1"/>
    <col min="3" max="3" width="30.75" customWidth="1"/>
    <col min="4" max="6" width="10.75" customWidth="1"/>
  </cols>
  <sheetData>
    <row r="1" spans="1:3" x14ac:dyDescent="0.25">
      <c r="A1" s="48" t="s">
        <v>76</v>
      </c>
      <c r="B1" s="48" t="s">
        <v>77</v>
      </c>
      <c r="C1" s="48" t="s">
        <v>78</v>
      </c>
    </row>
    <row r="2" spans="1:3" ht="57.1" x14ac:dyDescent="0.25">
      <c r="A2" s="50" t="s">
        <v>79</v>
      </c>
      <c r="B2" s="51" t="s">
        <v>88</v>
      </c>
      <c r="C2" s="51" t="s">
        <v>75</v>
      </c>
    </row>
  </sheetData>
  <pageMargins left="0.7" right="0.7" top="0.75" bottom="0.75" header="0.511811023622047" footer="0.511811023622047"/>
  <pageSetup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2"/>
  <sheetViews>
    <sheetView zoomScaleNormal="100" workbookViewId="0"/>
  </sheetViews>
  <sheetFormatPr baseColWidth="10" defaultColWidth="14.375" defaultRowHeight="14.3" x14ac:dyDescent="0.25"/>
  <cols>
    <col min="1" max="1" width="54.125" customWidth="1"/>
    <col min="2" max="2" width="57.25" customWidth="1"/>
    <col min="3" max="3" width="30.75" customWidth="1"/>
    <col min="4" max="6" width="10.75" customWidth="1"/>
  </cols>
  <sheetData>
    <row r="1" spans="1:3" x14ac:dyDescent="0.25">
      <c r="A1" s="48" t="s">
        <v>76</v>
      </c>
      <c r="B1" s="48" t="s">
        <v>77</v>
      </c>
      <c r="C1" s="48" t="s">
        <v>78</v>
      </c>
    </row>
    <row r="2" spans="1:3" ht="57.1" x14ac:dyDescent="0.25">
      <c r="A2" s="50" t="s">
        <v>79</v>
      </c>
      <c r="B2" s="51" t="s">
        <v>89</v>
      </c>
      <c r="C2" s="51" t="s">
        <v>75</v>
      </c>
    </row>
  </sheetData>
  <pageMargins left="0.7" right="0.7" top="0.75" bottom="0.75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Matriz Ckeck LIst</vt:lpstr>
      <vt:lpstr>LISTA DE COMPROBACION - CU0-0</vt:lpstr>
      <vt:lpstr>LISTA DE COMPROBACION - CU0-1</vt:lpstr>
      <vt:lpstr>LISTA DE COMPROBACION - CU0-2</vt:lpstr>
      <vt:lpstr>LISTA DE COMPROBACION - CU0-3</vt:lpstr>
      <vt:lpstr>LISTA DE COMPROBACION - CU0-4</vt:lpstr>
      <vt:lpstr>LISTA DE COMPROBACION - CU0-5</vt:lpstr>
      <vt:lpstr>LISTA DE COMPROBACION - CU0-6</vt:lpstr>
      <vt:lpstr>LISTA DE COMPROBACION - CU0-7</vt:lpstr>
      <vt:lpstr>RECOMENDACIONES - CU 0-0</vt:lpstr>
      <vt:lpstr>RECOMENDACIONES - CU 0-1</vt:lpstr>
      <vt:lpstr>RECOMENDACIONES - CU 0-2</vt:lpstr>
      <vt:lpstr>RECOMENDACIONES - CU 0-3</vt:lpstr>
      <vt:lpstr>RECOMENDACIONES - CU 0-4</vt:lpstr>
      <vt:lpstr>RECOMENDACIONES - CU 0-5</vt:lpstr>
      <vt:lpstr>RECOMENDACIONES - CU 0-6</vt:lpstr>
      <vt:lpstr>RECOMENDACIONES - CU 0-7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Adrian Padilla</cp:lastModifiedBy>
  <cp:revision>1</cp:revision>
  <dcterms:modified xsi:type="dcterms:W3CDTF">2026-10-13T00:59:17Z</dcterms:modified>
  <dc:language>en-US</dc:language>
</cp:coreProperties>
</file>