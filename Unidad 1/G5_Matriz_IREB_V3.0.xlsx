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triz Ckeck LIst" sheetId="1" r:id="rId4"/>
    <sheet state="visible" name="MODELO LISTA DE COMPROBACION - " sheetId="2" r:id="rId5"/>
    <sheet state="visible" name="MODELO DE LISTA DE COMPROBACION" sheetId="3" r:id="rId6"/>
    <sheet state="visible" name="Hoja 1" sheetId="4" r:id="rId7"/>
    <sheet state="visible" name="RECOMENDACIONES - CU 001.1" sheetId="5" r:id="rId8"/>
    <sheet state="visible" name="RECOMENDACIONES - CU003.1" sheetId="6" r:id="rId9"/>
    <sheet state="visible" name="RECOMENDACIONES - CU004.1" sheetId="7" r:id="rId10"/>
  </sheets>
  <definedNames/>
  <calcPr/>
  <extLst>
    <ext uri="GoogleSheetsCustomDataVersion2">
      <go:sheetsCustomData xmlns:go="http://customooxmlschemas.google.com/" r:id="rId11" roundtripDataChecksum="CHvvgMB4lX0mngcJp7PEw/KUxu12lOwT1XJXnK/IBk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
ID#AAACHxgG9CE
jeny ruiz    (2026-10-01 14:49:28)
Es importante ingresar el archivo plano en formato excel para el cliente y el desarrollador</t>
      </text>
    </comment>
    <comment authorId="0" ref="G7">
      <text>
        <t xml:space="preserve">======
ID#AAACHxgG9Ac
jeny ruiz    (2026-10-01 14:49:28)
Control del nivel de acuedo entre las partes Cliente y Desarrollador</t>
      </text>
    </comment>
    <comment authorId="0" ref="I7">
      <text>
        <t xml:space="preserve">======
ID#AAACHxgG9CY
jeny ruiz    (2026-10-01 14:49:28)
Se guarda en un archivo Excel los registros que dieron un problema en la actualización.</t>
      </text>
    </comment>
    <comment authorId="0" ref="K9">
      <text>
        <t xml:space="preserve">======
ID#AAACHxgG9Ao
jeny ruiz    (2026-10-01 14:49:28)
Es importante ingresar el archivo plano en formato excel para el cliente y el desarrollador</t>
      </text>
    </comment>
    <comment authorId="0" ref="J7">
      <text>
        <t xml:space="preserve">======
ID#AAACHxgG9AA
jeny ruiz    (2026-10-01 14:49:28)
Control del nivel de acuedo entre las partes Cliente y Desarrollador</t>
      </text>
    </comment>
    <comment authorId="0" ref="K7">
      <text>
        <t xml:space="preserve">======
ID#AAACHxgG9B8
jeny ruiz    (2026-10-01 14:49:28)
jeny ruiz:
Posterior a la actualización, se guardaran automáticamente el nombre de usuario, fecha, hora, registro antiguo, registro nuevo.</t>
      </text>
    </comment>
    <comment authorId="0" ref="C19">
      <text>
        <t xml:space="preserve">======
ID#AAACHxgG9AE
jeny ruiz    (2026-10-01 14:49:28)
Para todos los interesados dependiendo  de la fase del proyecto podrían estar involucrados  distintos implicados,(Glosario de tèrminos)</t>
      </text>
    </comment>
    <comment authorId="0" ref="C18">
      <text>
        <t xml:space="preserve">======
ID#AAACHxgG9Aw
jeny ruiz    (2026-10-01 14:49:28)
Trata todos los asuntos relevantes</t>
      </text>
    </comment>
    <comment authorId="0" ref="C17">
      <text>
        <t xml:space="preserve">======
ID#AAACHxgG9BE
jeny ruiz    (2026-10-01 14:49:28)
El origen del requisito y sus relaciones con otros requisitos  están claros.</t>
      </text>
    </comment>
    <comment authorId="0" ref="C16">
      <text>
        <t xml:space="preserve">======
ID#AAACHxgG9BI
jeny ruiz    (2026-10-01 14:49:28)
Puede ser implementado  y desarrollado en las condiciones actuales(tiempo, Presupuest,, orgtanizaciòn, ect)</t>
      </text>
    </comment>
    <comment authorId="0" ref="C15">
      <text>
        <t xml:space="preserve">======
ID#AAACHxgG9Bw
jeny ruiz    (2026-10-01 14:49:28)
Su cumplimiento o no cumplimiento puede der probado con un esfuerzo razonable</t>
      </text>
    </comment>
    <comment authorId="0" ref="C14">
      <text>
        <t xml:space="preserve">======
ID#AAACHxgG9CI
jeny ruiz    (2026-10-01 14:49:28)
Sin contradicciones</t>
      </text>
    </comment>
    <comment authorId="0" ref="C13">
      <text>
        <t xml:space="preserve">======
ID#AAACHxgG9Bo
jeny ruiz    (2026-10-01 14:49:28)
Refleja las espectativas  del implicado</t>
      </text>
    </comment>
    <comment authorId="0" ref="C12">
      <text>
        <t xml:space="preserve">======
ID#AAACHxgG9CQ
jeny ruiz    (2026-10-01 14:49:28)
Toda nueva información  ha sido incorporada</t>
      </text>
    </comment>
    <comment authorId="0" ref="C11">
      <text>
        <t xml:space="preserve">======
ID#AAACHxgG8_w
jeny ruiz    (2026-10-01 14:49:28)
Todos los lectores comprenden de la misma manera, sólo una interpretación</t>
      </text>
    </comment>
    <comment authorId="0" ref="C10">
      <text>
        <t xml:space="preserve">======
ID#AAACHxgG9Cc
jeny ruiz    (2026-10-01 14:49:28)
Ponderado por importancia o prioridad</t>
      </text>
    </comment>
    <comment authorId="0" ref="C9">
      <text>
        <t xml:space="preserve">======
ID#AAACHxgG9A8
jeny ruiz    (2026-10-01 14:49:28)
Todos los interesados reconocen que el  requisito es correcto y relevante</t>
      </text>
    </comment>
    <comment authorId="0" ref="F9">
      <text>
        <t xml:space="preserve">======
ID#AAACHxgG9Bc
jeny ruiz    (2026-10-01 14:49:28)
Es importante ingresar el archivo plano en formato excel para el cliente y el desarrollador</t>
      </text>
    </comment>
    <comment authorId="0" ref="E7">
      <text>
        <t xml:space="preserve">======
ID#AAACHxgG9AQ
jeny ruiz    (2026-10-01 14:49:28)
Control del nivel de acuedo entre las partes Cliente y Desarrollador</t>
      </text>
    </comment>
    <comment authorId="0" ref="F7">
      <text>
        <t xml:space="preserve">======
ID#AAACHxgG9AY
jeny ruiz    (2026-10-01 14:49:28)
La información contenida en memoria se utiliza para actualizar los campos de la base de datos.</t>
      </text>
    </comment>
  </commentList>
  <extLst>
    <ext uri="GoogleSheetsCustomDataVersion2">
      <go:sheetsCustomData xmlns:go="http://customooxmlschemas.google.com/" r:id="rId1" roundtripDataSignature="AMtx7mg5vgTsnMbGseqiWsg4aWkU5yDby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ID#AAACHxgG9CM
ESPE    (2026-10-01 14:49:28)
verificable</t>
      </text>
    </comment>
    <comment authorId="0" ref="B15">
      <text>
        <t xml:space="preserve">======
ID#AAACHxgG9Ak
ESPE    (2026-10-01 14:49:28)
NECESIDAD</t>
      </text>
    </comment>
    <comment authorId="0" ref="B14">
      <text>
        <t xml:space="preserve">======
ID#AAACHxgG9Ag
ESPE    (2026-10-01 14:49:28)
CONSISTENCIA</t>
      </text>
    </comment>
    <comment authorId="0" ref="B13">
      <text>
        <t xml:space="preserve">======
ID#AAACHxgG9BA
ESPE    (2026-10-01 14:49:28)
CORRECCION</t>
      </text>
    </comment>
    <comment authorId="0" ref="B12">
      <text>
        <t xml:space="preserve">======
ID#AAACHxgG9BM
ESPE    (2026-10-01 14:49:28)
TRAZABILIDAD</t>
      </text>
    </comment>
    <comment authorId="0" ref="B11">
      <text>
        <t xml:space="preserve">======
ID#AAACHxgG9CU
ESPE    (2026-10-01 14:49:28)
trazabilidad</t>
      </text>
    </comment>
    <comment authorId="0" ref="B10">
      <text>
        <t xml:space="preserve">======
ID#AAACHxgG8_8
ESPE    (2026-10-01 14:49:28)
TRAZABILIDAD</t>
      </text>
    </comment>
    <comment authorId="0" ref="B9">
      <text>
        <t xml:space="preserve">======
ID#AAACHxgG8_4
ESPE    (2026-10-01 14:49:28)
COMPLETITUD REQUISITO INDIVIDUAL</t>
      </text>
    </comment>
    <comment authorId="0" ref="B8">
      <text>
        <t xml:space="preserve">======
ID#AAACHxgG9A0
ESPE    (2026-10-01 14:49:28)
COMPLETITUD DOCUMENTO</t>
      </text>
    </comment>
  </commentList>
  <extLst>
    <ext uri="GoogleSheetsCustomDataVersion2">
      <go:sheetsCustomData xmlns:go="http://customooxmlschemas.google.com/" r:id="rId1" roundtripDataSignature="AMtx7mjECxCph+jvoXX9lFXk7i2TmBt2/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ID#AAACHxgG9B4
ESPE    (2026-10-01 14:49:28)
verificable</t>
      </text>
    </comment>
    <comment authorId="0" ref="B15">
      <text>
        <t xml:space="preserve">======
ID#AAACHxgG9B0
ESPE    (2026-10-01 14:49:28)
NECESIDAD</t>
      </text>
    </comment>
    <comment authorId="0" ref="B14">
      <text>
        <t xml:space="preserve">======
ID#AAACHxgG8_o
ESPE    (2026-10-01 14:49:28)
CONSISTENCIA</t>
      </text>
    </comment>
    <comment authorId="0" ref="B13">
      <text>
        <t xml:space="preserve">======
ID#AAACHxgG9As
ESPE    (2026-10-01 14:49:28)
CORRECCION</t>
      </text>
    </comment>
    <comment authorId="0" ref="B12">
      <text>
        <t xml:space="preserve">======
ID#AAACHxgG9AM
ESPE    (2026-10-01 14:49:28)
TRAZABILIDAD</t>
      </text>
    </comment>
    <comment authorId="0" ref="B11">
      <text>
        <t xml:space="preserve">======
ID#AAACHxgG9Bg
ESPE    (2026-10-01 14:49:28)
trazabilidad</t>
      </text>
    </comment>
    <comment authorId="0" ref="B10">
      <text>
        <t xml:space="preserve">======
ID#AAACHxgG9AI
ESPE    (2026-10-01 14:49:28)
TRAZABILIDAD</t>
      </text>
    </comment>
    <comment authorId="0" ref="B9">
      <text>
        <t xml:space="preserve">======
ID#AAACHxgG9CA
ESPE    (2026-10-01 14:49:28)
COMPLETITUD REQUISITO INDIVIDUAL</t>
      </text>
    </comment>
    <comment authorId="0" ref="B8">
      <text>
        <t xml:space="preserve">======
ID#AAACHxgG8_k
ESPE    (2026-10-01 14:49:28)
COMPLETITUD DOCUMENTO</t>
      </text>
    </comment>
  </commentList>
  <extLst>
    <ext uri="GoogleSheetsCustomDataVersion2">
      <go:sheetsCustomData xmlns:go="http://customooxmlschemas.google.com/" r:id="rId1" roundtripDataSignature="AMtx7mgT8v0rBtMnHV5H863KQ9c4baSOGQ=="/>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ID#AAACHxgG9Bk
ESPE    (2026-10-01 14:49:28)
verificable</t>
      </text>
    </comment>
    <comment authorId="0" ref="B15">
      <text>
        <t xml:space="preserve">======
ID#AAACHxgG9AU
ESPE    (2026-10-01 14:49:28)
NECESIDAD</t>
      </text>
    </comment>
    <comment authorId="0" ref="B14">
      <text>
        <t xml:space="preserve">======
ID#AAACHxgG9Bs
ESPE    (2026-10-01 14:49:28)
CONSISTENCIA</t>
      </text>
    </comment>
    <comment authorId="0" ref="B13">
      <text>
        <t xml:space="preserve">======
ID#AAACHxgG8_s
ESPE    (2026-10-01 14:49:28)
CORRECCION</t>
      </text>
    </comment>
    <comment authorId="0" ref="B12">
      <text>
        <t xml:space="preserve">======
ID#AAACHxgG9A4
ESPE    (2026-10-01 14:49:28)
TRAZABILIDAD</t>
      </text>
    </comment>
    <comment authorId="0" ref="B11">
      <text>
        <t xml:space="preserve">======
ID#AAACHxgG9BY
ESPE    (2026-10-01 14:49:28)
trazabilidad</t>
      </text>
    </comment>
    <comment authorId="0" ref="B10">
      <text>
        <t xml:space="preserve">======
ID#AAACHxgG9BU
ESPE    (2026-10-01 14:49:28)
TRAZABILIDAD</t>
      </text>
    </comment>
    <comment authorId="0" ref="B9">
      <text>
        <t xml:space="preserve">======
ID#AAACHxgG8_0
ESPE    (2026-10-01 14:49:28)
COMPLETITUD REQUISITO INDIVIDUAL</t>
      </text>
    </comment>
    <comment authorId="0" ref="B8">
      <text>
        <t xml:space="preserve">======
ID#AAACHxgG9BQ
ESPE    (2026-10-01 14:49:28)
COMPLETITUD DOCUMENTO</t>
      </text>
    </comment>
  </commentList>
  <extLst>
    <ext uri="GoogleSheetsCustomDataVersion2">
      <go:sheetsCustomData xmlns:go="http://customooxmlschemas.google.com/" r:id="rId1" roundtripDataSignature="AMtx7mgDukf1XUzcoxy5n1Kjri7XNipnWA=="/>
    </ext>
  </extLst>
</comments>
</file>

<file path=xl/sharedStrings.xml><?xml version="1.0" encoding="utf-8"?>
<sst xmlns="http://schemas.openxmlformats.org/spreadsheetml/2006/main" count="317" uniqueCount="101">
  <si>
    <t>MATRIZ PARA COMPROBACIÓN REQUERIMIENTOS DE CALIDAD DE PROYECTO ACADEMICO</t>
  </si>
  <si>
    <t>SISTEMA:</t>
  </si>
  <si>
    <t>SISTEMA DE GESTION DE PEDIDOS DEL RESTAURANTE BOCATTO VALLEY</t>
  </si>
  <si>
    <t>Requerimientos  Funcionales</t>
  </si>
  <si>
    <t>Nº</t>
  </si>
  <si>
    <t>CRITERIOS DE CALIDAD (Documento/Requerimientos)</t>
  </si>
  <si>
    <t>Status
Nivel de Acuerdo</t>
  </si>
  <si>
    <t xml:space="preserve">
CU 001.1 Tomar pedido en mesa</t>
  </si>
  <si>
    <t>CU003.1 Realizar pedido por QR</t>
  </si>
  <si>
    <t xml:space="preserve">CU 004.1  Gestionar Preparación del Pedido </t>
  </si>
  <si>
    <t>Agreed</t>
  </si>
  <si>
    <t>OK</t>
  </si>
  <si>
    <t>1. Videoconferencia de la entrevista
2. Minuta de la entrevista
3. Aceptación por videoconferencia</t>
  </si>
  <si>
    <t>1. Videoconferencia de la entrevista                                                                                                                    2. Minuta de la entrevista
3. Aceptación por videoconferencia</t>
  </si>
  <si>
    <t>1. Videoconferencia de la entrevista                                                                                                                    2. Minuta de la entrevista
3. Aceptación del prototipo no funcional mediante videoconferencia</t>
  </si>
  <si>
    <t>Ranked</t>
  </si>
  <si>
    <t>1. En la descripción del caso de Uso se especifica la prioridad Alta</t>
  </si>
  <si>
    <t>Unambiguos</t>
  </si>
  <si>
    <t xml:space="preserve">1.  Redacción en lenguaje claro.                                                                               2. El tutor y el equipo interpretan de igual manera el caso de uso </t>
  </si>
  <si>
    <t>Valid and up-to date</t>
  </si>
  <si>
    <t>NOK</t>
  </si>
  <si>
    <t>1. No se han incorporado los últimos cambios pedidos luego del feedback realizado por el cliente</t>
  </si>
  <si>
    <t>1. No se han incorporado los últimos cambios tras el feedback realizado por el cliente</t>
  </si>
  <si>
    <t>Correct</t>
  </si>
  <si>
    <t>1. Está alineado con los objetivos del sistema.                                                                                                                                                                                                                        2. Refleja lo que realmente necesita el cliente.</t>
  </si>
  <si>
    <t>Consisten</t>
  </si>
  <si>
    <t xml:space="preserve">1. Documentación basada en modelos: Diagrama de Casos de Uso
2. Usa términos definidos previamente.                                             </t>
  </si>
  <si>
    <t xml:space="preserve">1. Documentación basada en modelos: Diagrama de Casos de Uso
2. Usa términos definidos previamente.                                                    3. Palabras repetitivas.                                              </t>
  </si>
  <si>
    <t>Verifiable</t>
  </si>
  <si>
    <t>1. Requisito Medible                                                           2.  Falta Casos de Prueba</t>
  </si>
  <si>
    <t>Realizable</t>
  </si>
  <si>
    <t>1. Funcionalidad tomada en cuenta dentro de la estimación del costo del proyecto (900$)
2. No se ha desarrollado</t>
  </si>
  <si>
    <t>Traceable</t>
  </si>
  <si>
    <t>1. Es claro el origen del requisito y sus relaciones con otros requisitos (matriz de trazabilidad cliente/casos de uso y casos de uso/casos de uso) 
2. Cuenta con un identificador único</t>
  </si>
  <si>
    <t>1. Es claro el origen del requisito y sus relaciones con otros requisitos (matriz de trazabilidad cliente/casos de uso y casos de uso/casos de uso)                           2. Cuenta con un identificador único</t>
  </si>
  <si>
    <t>Complete</t>
  </si>
  <si>
    <t>1. Contiene toda la información necesaria (entradas, salidas, precondiciones, postcondiciones) para entender y diseñar la función. 
2. Describe completamente la funcionalidad esperada.</t>
  </si>
  <si>
    <t>1. Contiene toda la información necesaria (entradas, salidas, precondiciones, postcondiciones) para entender y diseñar la función.                                                                              2. Describe completamente la funcionalidad esperada.</t>
  </si>
  <si>
    <t>1. Contiene toda la información necesaria (entradas, salidas, precondiciones, postcondiciones) para entender y diseñar la función.                                2. Describe completamente la funcionalidad esperada.</t>
  </si>
  <si>
    <t>Understandability</t>
  </si>
  <si>
    <t>1. Se involucra al cliente
2. Existe glosario de términos</t>
  </si>
  <si>
    <t>1. Se involucra al cliente 
2.Uso de términos respaldado por un glosario de términos</t>
  </si>
  <si>
    <t>FECHA:</t>
  </si>
  <si>
    <t>AUTOR:</t>
  </si>
  <si>
    <t>Nelson David Andino Martínez</t>
  </si>
  <si>
    <t>Marco Adrian Padilla Triviño</t>
  </si>
  <si>
    <t>REQUERIMIENTOS EVALUADOS :</t>
  </si>
  <si>
    <t xml:space="preserve">CU 04 Gestionar Preparación del Pedido </t>
  </si>
  <si>
    <t>Ricardo Lainez</t>
  </si>
  <si>
    <t>CONTENIDO</t>
  </si>
  <si>
    <t>CU 01 Tomar pedido en mesa</t>
  </si>
  <si>
    <t>No.</t>
  </si>
  <si>
    <t>Pregunta</t>
  </si>
  <si>
    <t>SI</t>
  </si>
  <si>
    <t xml:space="preserve">NO </t>
  </si>
  <si>
    <t>Todos los requerimientos relevantes se han documentado?</t>
  </si>
  <si>
    <t>X</t>
  </si>
  <si>
    <t>Se han implementado las funciones requeridas?</t>
  </si>
  <si>
    <t xml:space="preserve"> Existe algún mecanismo que permita seguir el impacto de dicho requerimiento a lo largo del resto de las actividades del ciclo productivo.?</t>
  </si>
  <si>
    <t>El origen de cada requerimento individual está claro ?</t>
  </si>
  <si>
    <t>Que tan facil es devolverse a los requerimientos?</t>
  </si>
  <si>
    <t xml:space="preserve"> Los requerimientos reflejan las necesidades y deseos del cliente?</t>
  </si>
  <si>
    <t>No hay contradicciones entre los requerimientos?</t>
  </si>
  <si>
    <t>El requerimiento que se esta especificando contribuye a alcanzar un objetivo definido ?</t>
  </si>
  <si>
    <t>Existe un proceso acotado (en plazo y presupuesto) que permita determinar que el sistema construido satisface lo descrito en el propio requerimiento?</t>
  </si>
  <si>
    <t>SUMATORIA:</t>
  </si>
  <si>
    <t>PORCENTAJE :</t>
  </si>
  <si>
    <t>DOCUMENTACIÓN</t>
  </si>
  <si>
    <t>Aplica un estandar para la documetación de requerimiento?</t>
  </si>
  <si>
    <t>Cumple con la estructura definida por el estandar?</t>
  </si>
  <si>
    <t>Utiliza un Glosario de términos normalizado?</t>
  </si>
  <si>
    <t>Los requerimientos Funcionales estan sujetos a una única interpretación?</t>
  </si>
  <si>
    <t>El modelo aplicado cumple con la sintaxis?</t>
  </si>
  <si>
    <t>NIVEL DE ACUERDO</t>
  </si>
  <si>
    <t>Todos los requerimientos  han sido acordados con todos los interesados?</t>
  </si>
  <si>
    <t>Todos los requerimientos  modificados han sido acordados por todos los implicados?</t>
  </si>
  <si>
    <t>Han sido resueltos todos los conflictos conocidos respectos de los requerimientos?</t>
  </si>
  <si>
    <t>RESUMEN</t>
  </si>
  <si>
    <t xml:space="preserve">CONTENIDO </t>
  </si>
  <si>
    <t>PREGUNTA</t>
  </si>
  <si>
    <t>RECOMENDACIÓN</t>
  </si>
  <si>
    <t>¿Se ha incorporado los cambios sugeridos por el tutor o el cliente?</t>
  </si>
  <si>
    <t>Se recomienda programar una sesión de revisión con el cliente para validar el flujo. Dado que el nivel de detalle y precisión del sistema ya se encuentra debidamente documentado en el SRS, el objetivo de esta reunión es obtener el acuerdo de conformidad definitivo por parte de los interesados.</t>
  </si>
  <si>
    <t>¿Se mantiene la coherencia con otros requisitos del sistema y utiliza términos o definiciones de forma uniforme a lo largo del documento?</t>
  </si>
  <si>
    <t xml:space="preserve">Se recomienda unificar los estados del pedido (como pendiente, en preparación, listo y listo para entregar) en todo el documento, ya que actualmente hay contradicciones importantes entre los niveles. Por ejemplo, en el nivel alto esta que el cocinero pone el pedido en "listo para entregar", pero en el detalle de caja el sistema cambia a ese mismo estado recién después de que el cliente paga. </t>
  </si>
  <si>
    <t>¿Se han definido criterios de aceptación y casos de prueba
 que permitan medir objetivamente el cumplimiento del 
requisito?</t>
  </si>
  <si>
    <t>Se recomienda solventar la ausencia de casos de prueba formales mediante su diseño y documentación. Es prioritario estructurar los casos de prueba necesarios para validar tanto los flujos básicos como los alternativos descritos en el SRS</t>
  </si>
  <si>
    <t>¿Todos los requerimientos  han sido acordados con todos los interesados?</t>
  </si>
  <si>
    <t>Se recomienda realizar una minuta o acta firmada por las partes clave, incluyendo a la gerencia del proyecto y los analistas. Esto asegurará que la versión final del caso de uso, con los cambios del cliente ya aplicados, tenga el respaldo oficial antes de avanzar al diseño y desarrollo.</t>
  </si>
  <si>
    <t>¿Se contempla de manera explícita la secuencia completa de los estados de preparación en el caso de uso y su impacto en la vista del cliente?</t>
  </si>
  <si>
    <t>Se recomienda detallar de forma más estricta en el flujo del CU 004.1 las transiciones exactas de los estados ("pendiente" -&gt; "en preparación" -&gt; "listo" -&gt; "listo para entregar"), especificando los tiempos máximos permitidos para cada cambio de estado y asegurando que el cliente reciba la notificación visual en tiempo real en el aplicativo web sin demoras de sincronización.</t>
  </si>
  <si>
    <t xml:space="preserve">Realizar una sesión de revisión formal para consolidar el último feedback del cliente en el CU 03, actualizando la descripción del flujo, validaciones de mesa/QR y registrando los ajustes en la tabla de control de versiones del ERS.   </t>
  </si>
  <si>
    <t>¿El caso de uso considera el manejo de excepciones y errores operativos en cocina (por ejemplo, rechazo de un plato por falta de stock de ingredientes o cancelación de un pedido por parte del cliente)?</t>
  </si>
  <si>
    <t>Se recomienda incorporar flujos alternativos dentro del CU 004.1 que expliquen detalladamente cómo debe proceder el cocinero si un producto no se puede preparar, cómo se comunica la cancelación o modificación del pedido a la caja o al mesero, y cómo se actualiza el stock o la base de datos para evitar discrepancias operativas.</t>
  </si>
  <si>
    <t>Estandarizar la nomenclatura entre la matriz de trazabilidad y el catálogo de requisitos funcionales (alinear las subfunciones CU 3.1 a CU 3.3 con RF-04), evitando redundancias de términos y homologando el estado inicial del pedido con el módulo de cocina.</t>
  </si>
  <si>
    <t>¿Se han definido los casos de prueba funcionales y de rendimiento específicos para validar la concurrencia en la bandeja de pedidos del cocinero?</t>
  </si>
  <si>
    <t>Diseñar y adjuntar la matriz de casos de prueba detallada para el flujo de escaneo QR y confirmación de pedido, incorporando criterios de aceptación medibles sobre tiempos de respuesta y manejo de fallos de red en el móvil.</t>
  </si>
  <si>
    <t>Se recomienda elaborar casos de prueba técnicos orientados al rendimiento del módulo de cocina (CU 004.1), simulando la llegada simultánea de múltiples pedidos desde diferentes canales (mesa, QR y teléfono) para verificar que el sistema no sufra bloqueos, mantenga el orden cronológico y cumpla con la latencia requerida en la interfaz del cocinero.</t>
  </si>
  <si>
    <t>Formalizar un acta de cierre y aprobación final firmada por el cliente y el equipo del proyecto, garantizando que los cambios acordados en las videoconferencias queden ratificados por todas las partes interesadas antes del paso a desarrollo.</t>
  </si>
  <si>
    <t>¿El diseño de la interfaz y las acciones del cocinero en el CU 004.1 están alineadas con las restricciones de hardware y ergonomía del entorno de cocina?</t>
  </si>
  <si>
    <t>Se recomienda revisar la usabilidad de las pantallas táctiles en el área de cocina, asegurando que los botones para actualizar el estado del pedido posean un tamaño adecuado para un entorno con alta exigencia física, minimizando errores táctiles del personal gastronómico durante la operación.</t>
  </si>
</sst>
</file>

<file path=xl/styles.xml><?xml version="1.0" encoding="utf-8"?>
<styleSheet xmlns="http://schemas.openxmlformats.org/spreadsheetml/2006/main" xmlns:x14ac="http://schemas.microsoft.com/office/spreadsheetml/2009/9/ac" xmlns:mc="http://schemas.openxmlformats.org/markup-compatibility/2006">
  <fonts count="18">
    <font>
      <sz val="11.0"/>
      <color theme="1"/>
      <name val="Calibri"/>
      <scheme val="minor"/>
    </font>
    <font>
      <sz val="8.0"/>
      <color theme="1"/>
      <name val="Arial"/>
    </font>
    <font>
      <b/>
      <sz val="18.0"/>
      <color rgb="FF1F497D"/>
      <name val="Calibri"/>
    </font>
    <font>
      <b/>
      <sz val="18.0"/>
      <color theme="1"/>
      <name val="Calibri"/>
    </font>
    <font>
      <b/>
      <sz val="18.0"/>
      <color theme="1"/>
      <name val="Arial"/>
    </font>
    <font/>
    <font>
      <b/>
      <sz val="12.0"/>
      <color theme="1"/>
      <name val="Arial"/>
    </font>
    <font>
      <b/>
      <sz val="11.0"/>
      <color theme="1"/>
      <name val="Arial"/>
    </font>
    <font>
      <sz val="11.0"/>
      <color theme="1"/>
      <name val="Calibri"/>
    </font>
    <font>
      <b/>
      <sz val="16.0"/>
      <color theme="0"/>
      <name val="Calibri"/>
    </font>
    <font>
      <b/>
      <sz val="16.0"/>
      <color theme="1"/>
      <name val="Calibri"/>
    </font>
    <font>
      <b/>
      <sz val="12.0"/>
      <color rgb="FFFFFFFF"/>
      <name val="Calibri"/>
    </font>
    <font>
      <color theme="1"/>
      <name val="Calibri"/>
    </font>
    <font>
      <b/>
      <sz val="14.0"/>
      <color theme="1"/>
      <name val="Calibri"/>
    </font>
    <font>
      <sz val="14.0"/>
      <color theme="1"/>
      <name val="Calibri"/>
    </font>
    <font>
      <b/>
      <sz val="18.0"/>
      <color rgb="FFFA7D00"/>
      <name val="Calibri"/>
    </font>
    <font>
      <b/>
      <sz val="11.0"/>
      <color theme="0"/>
      <name val="Calibri"/>
    </font>
    <font>
      <color theme="1"/>
      <name val="Calibri"/>
      <scheme val="minor"/>
    </font>
  </fonts>
  <fills count="8">
    <fill>
      <patternFill patternType="none"/>
    </fill>
    <fill>
      <patternFill patternType="lightGray"/>
    </fill>
    <fill>
      <patternFill patternType="solid">
        <fgColor rgb="FFD8D8D8"/>
        <bgColor rgb="FFD8D8D8"/>
      </patternFill>
    </fill>
    <fill>
      <patternFill patternType="solid">
        <fgColor theme="4"/>
        <bgColor theme="4"/>
      </patternFill>
    </fill>
    <fill>
      <patternFill patternType="solid">
        <fgColor rgb="FF92D050"/>
        <bgColor rgb="FF92D050"/>
      </patternFill>
    </fill>
    <fill>
      <patternFill patternType="solid">
        <fgColor rgb="FFFF0000"/>
        <bgColor rgb="FFFF0000"/>
      </patternFill>
    </fill>
    <fill>
      <patternFill patternType="solid">
        <fgColor rgb="FFB8CCE4"/>
        <bgColor rgb="FFB8CCE4"/>
      </patternFill>
    </fill>
    <fill>
      <patternFill patternType="solid">
        <fgColor rgb="FFC2D69B"/>
        <bgColor rgb="FFC2D69B"/>
      </patternFill>
    </fill>
  </fills>
  <borders count="1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top style="thin">
        <color rgb="FF000000"/>
      </top>
      <bottom style="thin">
        <color rgb="FF000000"/>
      </bottom>
    </border>
    <border>
      <left/>
      <right style="thin">
        <color rgb="FF000000"/>
      </right>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bottom style="thin">
        <color rgb="FF000000"/>
      </bottom>
    </border>
  </borders>
  <cellStyleXfs count="1">
    <xf borderId="0" fillId="0" fontId="0" numFmtId="0" applyAlignment="1" applyFont="1"/>
  </cellStyleXfs>
  <cellXfs count="66">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horizontal="center" shrinkToFit="0" vertical="center" wrapText="1"/>
    </xf>
    <xf borderId="0" fillId="0" fontId="3" numFmtId="0" xfId="0" applyAlignment="1" applyFont="1">
      <alignment horizontal="center" shrinkToFit="0" vertical="center" wrapText="1"/>
    </xf>
    <xf borderId="0" fillId="0" fontId="3" numFmtId="0" xfId="0" applyAlignment="1" applyFont="1">
      <alignment horizontal="left" readingOrder="0" shrinkToFit="0" vertical="center" wrapText="1"/>
    </xf>
    <xf borderId="1" fillId="2" fontId="4" numFmtId="0" xfId="0" applyAlignment="1" applyBorder="1" applyFill="1" applyFont="1">
      <alignment horizontal="center" vertical="center"/>
    </xf>
    <xf borderId="2" fillId="0" fontId="5" numFmtId="0" xfId="0" applyBorder="1" applyFont="1"/>
    <xf borderId="3" fillId="0" fontId="5" numFmtId="0" xfId="0" applyBorder="1" applyFont="1"/>
    <xf borderId="4" fillId="2" fontId="6" numFmtId="0" xfId="0" applyAlignment="1" applyBorder="1" applyFill="1" applyFont="1">
      <alignment horizontal="center" shrinkToFit="0" vertical="center" wrapText="1"/>
    </xf>
    <xf borderId="5" fillId="2" fontId="6" numFmtId="0" xfId="0" applyAlignment="1" applyBorder="1" applyFill="1" applyFont="1">
      <alignment horizontal="center" shrinkToFit="0" vertical="center" wrapText="1"/>
    </xf>
    <xf borderId="6" fillId="0" fontId="5" numFmtId="0" xfId="0" applyBorder="1" applyFont="1"/>
    <xf borderId="4" fillId="2" fontId="7" numFmtId="0" xfId="0" applyAlignment="1" applyBorder="1" applyFill="1" applyFont="1">
      <alignment horizontal="center" shrinkToFit="0" vertical="center" wrapText="1"/>
    </xf>
    <xf borderId="4" fillId="2" fontId="6" numFmtId="0" xfId="0" applyAlignment="1" applyBorder="1" applyFill="1" applyFont="1">
      <alignment horizontal="center" readingOrder="0" shrinkToFit="0" vertical="center" wrapText="1"/>
    </xf>
    <xf borderId="7" fillId="0" fontId="8" numFmtId="0" xfId="0" applyBorder="1" applyFont="1"/>
    <xf borderId="8" fillId="0" fontId="5" numFmtId="0" xfId="0" applyBorder="1" applyFont="1"/>
    <xf borderId="9" fillId="0" fontId="5" numFmtId="0" xfId="0" applyBorder="1" applyFont="1"/>
    <xf borderId="10" fillId="0" fontId="5" numFmtId="0" xfId="0" applyBorder="1" applyFont="1"/>
    <xf borderId="11" fillId="3" fontId="9" numFmtId="0" xfId="0" applyAlignment="1" applyBorder="1" applyFill="1" applyFont="1">
      <alignment horizontal="center" shrinkToFit="0" vertical="center" wrapText="1"/>
    </xf>
    <xf borderId="1" fillId="3" fontId="9" numFmtId="0" xfId="0" applyAlignment="1" applyBorder="1" applyFill="1" applyFont="1">
      <alignment horizontal="center" shrinkToFit="0" vertical="center" wrapText="1"/>
    </xf>
    <xf borderId="7" fillId="4" fontId="10" numFmtId="0" xfId="0" applyAlignment="1" applyBorder="1" applyFill="1" applyFont="1">
      <alignment horizontal="center" shrinkToFit="0" vertical="center" wrapText="1"/>
    </xf>
    <xf borderId="12" fillId="3" fontId="11" numFmtId="0" xfId="0" applyAlignment="1" applyBorder="1" applyFill="1" applyFont="1">
      <alignment horizontal="left" shrinkToFit="0" vertical="center" wrapText="1"/>
    </xf>
    <xf borderId="0" fillId="0" fontId="12" numFmtId="0" xfId="0" applyFont="1"/>
    <xf borderId="12" fillId="3" fontId="11" numFmtId="0" xfId="0" applyAlignment="1" applyBorder="1" applyFill="1" applyFont="1">
      <alignment horizontal="left" readingOrder="0" shrinkToFit="0" vertical="center" wrapText="1"/>
    </xf>
    <xf borderId="7" fillId="3" fontId="11" numFmtId="0" xfId="0" applyAlignment="1" applyBorder="1" applyFill="1" applyFont="1">
      <alignment shrinkToFit="0" vertical="center" wrapText="1"/>
    </xf>
    <xf borderId="7" fillId="5" fontId="10" numFmtId="0" xfId="0" applyAlignment="1" applyBorder="1" applyFill="1" applyFont="1">
      <alignment horizontal="center" shrinkToFit="0" vertical="center" wrapText="1"/>
    </xf>
    <xf borderId="7" fillId="3" fontId="11" numFmtId="0" xfId="0" applyAlignment="1" applyBorder="1" applyFill="1" applyFont="1">
      <alignment horizontal="left" shrinkToFit="0" vertical="center" wrapText="1"/>
    </xf>
    <xf borderId="7" fillId="3" fontId="11" numFmtId="0" xfId="0" applyAlignment="1" applyBorder="1" applyFill="1" applyFont="1">
      <alignment horizontal="left" readingOrder="0" shrinkToFit="0" vertical="center" wrapText="1"/>
    </xf>
    <xf borderId="13" fillId="3" fontId="11" numFmtId="0" xfId="0" applyAlignment="1" applyBorder="1" applyFill="1" applyFont="1">
      <alignment horizontal="left" shrinkToFit="0" vertical="center" wrapText="1"/>
    </xf>
    <xf borderId="0" fillId="0" fontId="8" numFmtId="0" xfId="0" applyAlignment="1" applyFont="1">
      <alignment vertical="top"/>
    </xf>
    <xf borderId="0" fillId="0" fontId="13" numFmtId="0" xfId="0" applyAlignment="1" applyFont="1">
      <alignment horizontal="left" vertical="top"/>
    </xf>
    <xf borderId="0" fillId="0" fontId="14" numFmtId="0" xfId="0" applyAlignment="1" applyFont="1">
      <alignment horizontal="left" readingOrder="0" shrinkToFit="0" vertical="top" wrapText="1"/>
    </xf>
    <xf borderId="0" fillId="0" fontId="13" numFmtId="0" xfId="0" applyAlignment="1" applyFont="1">
      <alignment horizontal="left"/>
    </xf>
    <xf borderId="0" fillId="0" fontId="14" numFmtId="15" xfId="0" applyAlignment="1" applyFont="1" applyNumberFormat="1">
      <alignment horizontal="left" readingOrder="0" shrinkToFit="0" wrapText="1"/>
    </xf>
    <xf borderId="0" fillId="0" fontId="14" numFmtId="0" xfId="0" applyAlignment="1" applyFont="1">
      <alignment horizontal="left" readingOrder="0" shrinkToFit="0" wrapText="1"/>
    </xf>
    <xf borderId="0" fillId="0" fontId="15" numFmtId="0" xfId="0" applyAlignment="1" applyFont="1">
      <alignment horizontal="center" vertical="center"/>
    </xf>
    <xf borderId="12" fillId="6" fontId="14" numFmtId="0" xfId="0" applyAlignment="1" applyBorder="1" applyFill="1" applyFont="1">
      <alignment horizontal="center" readingOrder="0" shrinkToFit="0" vertical="center" wrapText="0"/>
    </xf>
    <xf borderId="14" fillId="6" fontId="14" numFmtId="0" xfId="0" applyAlignment="1" applyBorder="1" applyFill="1" applyFont="1">
      <alignment horizontal="center" readingOrder="0" shrinkToFit="0" vertical="center" wrapText="0"/>
    </xf>
    <xf borderId="15" fillId="6" fontId="14" numFmtId="0" xfId="0" applyAlignment="1" applyBorder="1" applyFill="1" applyFont="1">
      <alignment horizontal="center" readingOrder="0" shrinkToFit="0" vertical="center" wrapText="0"/>
    </xf>
    <xf borderId="3" fillId="0" fontId="8" numFmtId="0" xfId="0" applyAlignment="1" applyBorder="1" applyFont="1">
      <alignment horizontal="center" shrinkToFit="0" vertical="center" wrapText="0"/>
    </xf>
    <xf borderId="7" fillId="0" fontId="8" numFmtId="0" xfId="0" applyAlignment="1" applyBorder="1" applyFont="1">
      <alignment shrinkToFit="0" vertical="center" wrapText="1"/>
    </xf>
    <xf borderId="7" fillId="0" fontId="8" numFmtId="0" xfId="0" applyAlignment="1" applyBorder="1" applyFont="1">
      <alignment horizontal="center" shrinkToFit="0" vertical="center" wrapText="0"/>
    </xf>
    <xf borderId="1" fillId="0" fontId="8" numFmtId="0" xfId="0" applyAlignment="1" applyBorder="1" applyFont="1">
      <alignment horizontal="center" shrinkToFit="0" vertical="center" wrapText="0"/>
    </xf>
    <xf borderId="6" fillId="0" fontId="8" numFmtId="0" xfId="0" applyAlignment="1" applyBorder="1" applyFont="1">
      <alignment horizontal="center" shrinkToFit="0" vertical="center" wrapText="0"/>
    </xf>
    <xf borderId="4" fillId="0" fontId="8" numFmtId="0" xfId="0" applyAlignment="1" applyBorder="1" applyFont="1">
      <alignment shrinkToFit="0" vertical="center" wrapText="1"/>
    </xf>
    <xf borderId="4" fillId="0" fontId="8" numFmtId="0" xfId="0" applyAlignment="1" applyBorder="1" applyFont="1">
      <alignment horizontal="center" shrinkToFit="0" vertical="center" wrapText="0"/>
    </xf>
    <xf borderId="0" fillId="0" fontId="13" numFmtId="0" xfId="0" applyAlignment="1" applyFont="1">
      <alignment horizontal="left" vertical="center"/>
    </xf>
    <xf borderId="0" fillId="0" fontId="8" numFmtId="0" xfId="0" applyFont="1"/>
    <xf borderId="0" fillId="0" fontId="8" numFmtId="9" xfId="0" applyFont="1" applyNumberFormat="1"/>
    <xf borderId="16" fillId="0" fontId="15" numFmtId="0" xfId="0" applyAlignment="1" applyBorder="1" applyFont="1">
      <alignment horizontal="center" vertical="center"/>
    </xf>
    <xf borderId="16" fillId="0" fontId="5" numFmtId="0" xfId="0" applyBorder="1" applyFont="1"/>
    <xf borderId="10" fillId="0" fontId="13" numFmtId="0" xfId="0" applyAlignment="1" applyBorder="1" applyFont="1">
      <alignment horizontal="center" readingOrder="0" shrinkToFit="0" vertical="center" wrapText="0"/>
    </xf>
    <xf borderId="8" fillId="0" fontId="13" numFmtId="0" xfId="0" applyAlignment="1" applyBorder="1" applyFont="1">
      <alignment horizontal="center" readingOrder="0" shrinkToFit="0" vertical="center" wrapText="0"/>
    </xf>
    <xf borderId="8" fillId="0" fontId="10" numFmtId="0" xfId="0" applyAlignment="1" applyBorder="1" applyFont="1">
      <alignment horizontal="center" readingOrder="0" shrinkToFit="0" vertical="center" wrapText="0"/>
    </xf>
    <xf borderId="9" fillId="0" fontId="10" numFmtId="0" xfId="0" applyAlignment="1" applyBorder="1" applyFont="1">
      <alignment horizontal="center" readingOrder="0" shrinkToFit="0" vertical="center" wrapText="0"/>
    </xf>
    <xf borderId="5" fillId="0" fontId="8" numFmtId="0" xfId="0" applyAlignment="1" applyBorder="1" applyFont="1">
      <alignment horizontal="center" shrinkToFit="0" vertical="center" wrapText="0"/>
    </xf>
    <xf borderId="0" fillId="0" fontId="13" numFmtId="0" xfId="0" applyAlignment="1" applyFont="1">
      <alignment horizontal="center"/>
    </xf>
    <xf borderId="7" fillId="7" fontId="16" numFmtId="0" xfId="0" applyAlignment="1" applyBorder="1" applyFill="1" applyFont="1">
      <alignment horizontal="center" vertical="center"/>
    </xf>
    <xf borderId="7" fillId="0" fontId="8" numFmtId="0" xfId="0" applyAlignment="1" applyBorder="1" applyFont="1">
      <alignment horizontal="center" shrinkToFit="0" vertical="top" wrapText="1"/>
    </xf>
    <xf borderId="7" fillId="0" fontId="17" numFmtId="0" xfId="0" applyAlignment="1" applyBorder="1" applyFont="1">
      <alignment readingOrder="0" shrinkToFit="0" wrapText="1"/>
    </xf>
    <xf borderId="7" fillId="0" fontId="12" numFmtId="0" xfId="0" applyAlignment="1" applyBorder="1" applyFont="1">
      <alignment shrinkToFit="0" vertical="top" wrapText="1"/>
    </xf>
    <xf borderId="7" fillId="0" fontId="8" numFmtId="0" xfId="0" applyAlignment="1" applyBorder="1" applyFont="1">
      <alignment horizontal="center" readingOrder="0" shrinkToFit="0" vertical="top" wrapText="1"/>
    </xf>
    <xf borderId="7" fillId="0" fontId="8" numFmtId="0" xfId="0" applyAlignment="1" applyBorder="1" applyFont="1">
      <alignment readingOrder="0" shrinkToFit="0" vertical="top" wrapText="1"/>
    </xf>
    <xf borderId="7" fillId="0" fontId="8" numFmtId="0" xfId="0" applyAlignment="1" applyBorder="1" applyFont="1">
      <alignment readingOrder="0" shrinkToFit="0" wrapText="1"/>
    </xf>
    <xf borderId="7" fillId="0" fontId="12" numFmtId="0" xfId="0" applyAlignment="1" applyBorder="1" applyFont="1">
      <alignment horizontal="center" readingOrder="0" shrinkToFit="0" vertical="top" wrapText="1"/>
    </xf>
    <xf borderId="7" fillId="0" fontId="12" numFmtId="0" xfId="0" applyAlignment="1" applyBorder="1" applyFont="1">
      <alignment readingOrder="0" shrinkToFit="0" wrapText="1"/>
    </xf>
    <xf borderId="7" fillId="0" fontId="12" numFmtId="0" xfId="0" applyAlignment="1" applyBorder="1" applyFont="1">
      <alignment readingOrder="0" shrinkToFit="0" vertical="top" wrapText="1"/>
    </xf>
  </cellXfs>
  <cellStyles count="1">
    <cellStyle xfId="0" name="Normal" builtinId="0"/>
  </cellStyles>
  <dxfs count="16">
    <dxf>
      <font/>
      <fill>
        <patternFill patternType="none"/>
      </fill>
      <border/>
    </dxf>
    <dxf>
      <font/>
      <fill>
        <patternFill patternType="solid">
          <fgColor theme="0"/>
          <bgColor theme="0"/>
        </patternFill>
      </fill>
      <border/>
    </dxf>
    <dxf>
      <font/>
      <fill>
        <patternFill patternType="solid">
          <fgColor rgb="FFD8D8D8"/>
          <bgColor rgb="FFD8D8D8"/>
        </patternFill>
      </fill>
      <border/>
    </dxf>
    <dxf>
      <font/>
      <fill>
        <patternFill patternType="solid">
          <fgColor rgb="FFB8CCE4"/>
          <bgColor rgb="FFB8CCE4"/>
        </patternFill>
      </fill>
      <border/>
    </dxf>
    <dxf>
      <border>
        <left style="thin">
          <color theme="0"/>
        </left>
        <right style="thin">
          <color theme="0"/>
        </right>
        <top style="thin">
          <color theme="0"/>
        </top>
        <bottom style="thin">
          <color theme="0"/>
        </bottom>
      </border>
    </dxf>
    <dxf>
      <font/>
      <fill>
        <patternFill patternType="solid">
          <fgColor theme="6"/>
          <bgColor theme="6"/>
        </patternFill>
      </fill>
      <border/>
    </dxf>
    <dxf>
      <font/>
      <fill>
        <patternFill patternType="solid">
          <fgColor rgb="FFEAF1DD"/>
          <bgColor rgb="FFEAF1DD"/>
        </patternFill>
      </fill>
      <border/>
    </dxf>
    <dxf>
      <border>
        <left style="thin">
          <color theme="6"/>
        </left>
        <right style="thin">
          <color theme="6"/>
        </right>
        <top style="thin">
          <color theme="6"/>
        </top>
        <bottom style="thin">
          <color theme="6"/>
        </bottom>
      </border>
    </dxf>
    <dxf>
      <font/>
      <fill>
        <patternFill patternType="solid">
          <fgColor theme="9"/>
          <bgColor theme="9"/>
        </patternFill>
      </fill>
      <border/>
    </dxf>
    <dxf>
      <font/>
      <fill>
        <patternFill patternType="solid">
          <fgColor rgb="FFFDE9D9"/>
          <bgColor rgb="FFFDE9D9"/>
        </patternFill>
      </fill>
      <border/>
    </dxf>
    <dxf>
      <border>
        <left style="thin">
          <color theme="9"/>
        </left>
        <right style="thin">
          <color theme="9"/>
        </right>
        <top style="thin">
          <color theme="9"/>
        </top>
        <bottom style="thin">
          <color theme="9"/>
        </bottom>
      </border>
    </dxf>
    <dxf>
      <font/>
      <fill>
        <patternFill patternType="solid">
          <fgColor rgb="FFFFC7CE"/>
          <bgColor rgb="FFFFC7CE"/>
        </patternFill>
      </fill>
      <border/>
    </dxf>
    <dxf>
      <font>
        <color rgb="FF006100"/>
      </font>
      <fill>
        <patternFill patternType="solid">
          <fgColor rgb="FFC6EFCE"/>
          <bgColor rgb="FFC6EFCE"/>
        </patternFill>
      </fill>
      <border/>
    </dxf>
    <dxf>
      <font>
        <color rgb="FF9C0006"/>
      </font>
      <fill>
        <patternFill patternType="solid">
          <fgColor rgb="FFFFC7CE"/>
          <bgColor rgb="FFFFC7CE"/>
        </patternFill>
      </fill>
      <border/>
    </dxf>
    <dxf>
      <font>
        <b/>
      </font>
      <fill>
        <patternFill patternType="solid">
          <fgColor rgb="FFFF0000"/>
          <bgColor rgb="FFFF0000"/>
        </patternFill>
      </fill>
      <border/>
    </dxf>
    <dxf>
      <font>
        <color rgb="FFFF0000"/>
      </font>
      <fill>
        <patternFill patternType="none"/>
      </fill>
      <border/>
    </dxf>
  </dxfs>
  <tableStyles count="9">
    <tableStyle count="4" pivot="0" name="MODELO DE LISTA DE COMPROBACION-style">
      <tableStyleElement dxfId="1" type="headerRow"/>
      <tableStyleElement dxfId="2" type="firstRowStripe"/>
      <tableStyleElement dxfId="3" type="secondRowStripe"/>
      <tableStyleElement dxfId="4" size="0" type="wholeTable"/>
    </tableStyle>
    <tableStyle count="4" pivot="0" name="Hoja 1-style">
      <tableStyleElement dxfId="1" type="headerRow"/>
      <tableStyleElement dxfId="2" type="firstRowStripe"/>
      <tableStyleElement dxfId="3" type="secondRowStripe"/>
      <tableStyleElement dxfId="4" size="0" type="wholeTable"/>
    </tableStyle>
    <tableStyle count="4" pivot="0" name="MODELO LISTA DE COMPROBACION - -style">
      <tableStyleElement dxfId="1" type="headerRow"/>
      <tableStyleElement dxfId="2" type="firstRowStripe"/>
      <tableStyleElement dxfId="3" type="secondRowStripe"/>
      <tableStyleElement dxfId="4" size="0" type="wholeTable"/>
    </tableStyle>
    <tableStyle count="4" pivot="0" name="MODELO DE LISTA DE COMPROBACION-style 2">
      <tableStyleElement dxfId="5" type="headerRow"/>
      <tableStyleElement dxfId="6" type="firstRowStripe"/>
      <tableStyleElement dxfId="3" type="secondRowStripe"/>
      <tableStyleElement dxfId="7" size="0" type="wholeTable"/>
    </tableStyle>
    <tableStyle count="4" pivot="0" name="Hoja 1-style 2">
      <tableStyleElement dxfId="5" type="headerRow"/>
      <tableStyleElement dxfId="6" type="firstRowStripe"/>
      <tableStyleElement dxfId="3" type="secondRowStripe"/>
      <tableStyleElement dxfId="7" size="0" type="wholeTable"/>
    </tableStyle>
    <tableStyle count="4" pivot="0" name="MODELO LISTA DE COMPROBACION - -style 2">
      <tableStyleElement dxfId="5" type="headerRow"/>
      <tableStyleElement dxfId="6" type="firstRowStripe"/>
      <tableStyleElement dxfId="3" type="secondRowStripe"/>
      <tableStyleElement dxfId="7" size="0" type="wholeTable"/>
    </tableStyle>
    <tableStyle count="4" pivot="0" name="MODELO DE LISTA DE COMPROBACION-style 3">
      <tableStyleElement dxfId="8" type="headerRow"/>
      <tableStyleElement dxfId="9" type="firstRowStripe"/>
      <tableStyleElement dxfId="3" type="secondRowStripe"/>
      <tableStyleElement dxfId="10" size="0" type="wholeTable"/>
    </tableStyle>
    <tableStyle count="4" pivot="0" name="Hoja 1-style 3">
      <tableStyleElement dxfId="8" type="headerRow"/>
      <tableStyleElement dxfId="9" type="firstRowStripe"/>
      <tableStyleElement dxfId="3" type="secondRowStripe"/>
      <tableStyleElement dxfId="10" size="0" type="wholeTable"/>
    </tableStyle>
    <tableStyle count="4" pivot="0" name="MODELO LISTA DE COMPROBACION - -style 3">
      <tableStyleElement dxfId="8" type="headerRow"/>
      <tableStyleElement dxfId="9" type="firstRowStripe"/>
      <tableStyleElement dxfId="3" type="secondRowStripe"/>
      <tableStyleElement dxfId="10" size="0" type="wholeTabl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LISTA DE COMPROBACION - '!$B$41:$B$43</c:f>
            </c:strRef>
          </c:cat>
          <c:val>
            <c:numRef>
              <c:f>'MODELO LISTA DE COMPROBACION - '!$C$41:$C$43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'MODELO DE LISTA DE COMPROBACION'!$B$41:$B$43</c:f>
            </c:strRef>
          </c:cat>
          <c:val>
            <c:numRef>
              <c:f>'MODELO DE LISTA DE COMPROBACION'!$C$41:$C$43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CRITERIO DE CALIDAD </a:t>
            </a:r>
          </a:p>
        </c:rich>
      </c:tx>
      <c:layout>
        <c:manualLayout>
          <c:xMode val="edge"/>
          <c:yMode val="edge"/>
          <c:x val="0.3094930008748907"/>
          <c:y val="0.06018518518518518"/>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1"/>
            <c:showBubbleSize val="0"/>
            <c:showLeaderLines val="1"/>
          </c:dLbls>
          <c:cat>
            <c:strRef>
              <c:f>'Hoja 1'!$B$41:$B$43</c:f>
            </c:strRef>
          </c:cat>
          <c:val>
            <c:numRef>
              <c:f>'Hoja 1'!$C$41:$C$43</c:f>
              <c:numCache/>
            </c:numRef>
          </c:val>
        </c:ser>
        <c:dLbls>
          <c:showLegendKey val="0"/>
          <c:showVal val="0"/>
          <c:showCatName val="0"/>
          <c:showSerName val="0"/>
          <c:showPercent val="0"/>
          <c:showBubbleSize val="0"/>
        </c:dLbls>
      </c:pie3DChart>
    </c:plotArea>
    <c:legend>
      <c:legendPos val="r"/>
      <c:overlay val="0"/>
      <c:txPr>
        <a:bodyPr/>
        <a:lstStyle/>
        <a:p>
          <a:pPr lvl="0">
            <a:defRPr b="0" i="0">
              <a:solidFill>
                <a:srgbClr val="1A1A1A"/>
              </a:solidFill>
              <a:latin typeface="+mn-lt"/>
            </a:defRPr>
          </a:pPr>
        </a:p>
      </c:txPr>
    </c:legend>
    <c:plotVisOnly val="1"/>
  </c:chart>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47625</xdr:colOff>
      <xdr:row>6</xdr:row>
      <xdr:rowOff>9525</xdr:rowOff>
    </xdr:from>
    <xdr:ext cx="4286250" cy="2143125"/>
    <xdr:graphicFrame>
      <xdr:nvGraphicFramePr>
        <xdr:cNvPr id="677915408"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485775</xdr:rowOff>
    </xdr:from>
    <xdr:ext cx="4286250" cy="2143125"/>
    <xdr:graphicFrame>
      <xdr:nvGraphicFramePr>
        <xdr:cNvPr id="978990463"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485775</xdr:rowOff>
    </xdr:from>
    <xdr:ext cx="4286250" cy="2143125"/>
    <xdr:graphicFrame>
      <xdr:nvGraphicFramePr>
        <xdr:cNvPr id="928943876"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7:D16" displayName="Table_1" name="Table_1" id="3">
  <tableColumns count="4">
    <tableColumn name="No." id="1"/>
    <tableColumn name="Pregunta" id="2"/>
    <tableColumn name="SI" id="3"/>
    <tableColumn name="NO " id="4"/>
  </tableColumns>
  <tableStyleInfo name="MODELO LISTA DE COMPROBACION - -style" showColumnStripes="0" showFirstColumn="1" showLastColumn="1" showRowStripes="1"/>
</table>
</file>

<file path=xl/tables/table2.xml><?xml version="1.0" encoding="utf-8"?>
<table xmlns="http://schemas.openxmlformats.org/spreadsheetml/2006/main" ref="A21:D26" displayName="Table_2" name="Table_2" id="6">
  <tableColumns count="4">
    <tableColumn name="No." id="1"/>
    <tableColumn name="Pregunta" id="2"/>
    <tableColumn name="SI" id="3"/>
    <tableColumn name="NO " id="4"/>
  </tableColumns>
  <tableStyleInfo name="MODELO LISTA DE COMPROBACION - -style 2" showColumnStripes="0" showFirstColumn="1" showLastColumn="1" showRowStripes="1"/>
</table>
</file>

<file path=xl/tables/table3.xml><?xml version="1.0" encoding="utf-8"?>
<table xmlns="http://schemas.openxmlformats.org/spreadsheetml/2006/main" ref="A31:D34" displayName="Table_3" name="Table_3" id="9">
  <tableColumns count="4">
    <tableColumn name="No." id="1"/>
    <tableColumn name="Pregunta" id="2"/>
    <tableColumn name="SI" id="3"/>
    <tableColumn name="NO " id="4"/>
  </tableColumns>
  <tableStyleInfo name="MODELO LISTA DE COMPROBACION - -style 3" showColumnStripes="0" showFirstColumn="1" showLastColumn="1" showRowStripes="1"/>
</table>
</file>

<file path=xl/tables/table4.xml><?xml version="1.0" encoding="utf-8"?>
<table xmlns="http://schemas.openxmlformats.org/spreadsheetml/2006/main" ref="A7:D16" displayName="Table_4" name="Table_4" id="2">
  <tableColumns count="4">
    <tableColumn name="No." id="1"/>
    <tableColumn name="Pregunta" id="2"/>
    <tableColumn name="SI" id="3"/>
    <tableColumn name="NO " id="4"/>
  </tableColumns>
  <tableStyleInfo name="MODELO DE LISTA DE COMPROBACION-style" showColumnStripes="0" showFirstColumn="1" showLastColumn="1" showRowStripes="1"/>
</table>
</file>

<file path=xl/tables/table5.xml><?xml version="1.0" encoding="utf-8"?>
<table xmlns="http://schemas.openxmlformats.org/spreadsheetml/2006/main" ref="A21:D26" displayName="Table_5" name="Table_5" id="4">
  <tableColumns count="4">
    <tableColumn name="No." id="1"/>
    <tableColumn name="Pregunta" id="2"/>
    <tableColumn name="SI" id="3"/>
    <tableColumn name="NO " id="4"/>
  </tableColumns>
  <tableStyleInfo name="MODELO DE LISTA DE COMPROBACION-style 2" showColumnStripes="0" showFirstColumn="1" showLastColumn="1" showRowStripes="1"/>
</table>
</file>

<file path=xl/tables/table6.xml><?xml version="1.0" encoding="utf-8"?>
<table xmlns="http://schemas.openxmlformats.org/spreadsheetml/2006/main" ref="A31:D34" displayName="Table_6" name="Table_6" id="7">
  <tableColumns count="4">
    <tableColumn name="No." id="1"/>
    <tableColumn name="Pregunta" id="2"/>
    <tableColumn name="SI" id="3"/>
    <tableColumn name="NO " id="4"/>
  </tableColumns>
  <tableStyleInfo name="MODELO DE LISTA DE COMPROBACION-style 3" showColumnStripes="0" showFirstColumn="1" showLastColumn="1" showRowStripes="1"/>
</table>
</file>

<file path=xl/tables/table7.xml><?xml version="1.0" encoding="utf-8"?>
<table xmlns="http://schemas.openxmlformats.org/spreadsheetml/2006/main" ref="A7:D16" displayName="Table_7" name="Table_7" id="1">
  <tableColumns count="4">
    <tableColumn name="No." id="1"/>
    <tableColumn name="Pregunta" id="2"/>
    <tableColumn name="SI" id="3"/>
    <tableColumn name="NO " id="4"/>
  </tableColumns>
  <tableStyleInfo name="Hoja 1-style" showColumnStripes="0" showFirstColumn="1" showLastColumn="1" showRowStripes="1"/>
</table>
</file>

<file path=xl/tables/table8.xml><?xml version="1.0" encoding="utf-8"?>
<table xmlns="http://schemas.openxmlformats.org/spreadsheetml/2006/main" ref="A21:D26" displayName="Table_8" name="Table_8" id="5">
  <tableColumns count="4">
    <tableColumn name="No." id="1"/>
    <tableColumn name="Pregunta" id="2"/>
    <tableColumn name="SI" id="3"/>
    <tableColumn name="NO " id="4"/>
  </tableColumns>
  <tableStyleInfo name="Hoja 1-style 2" showColumnStripes="0" showFirstColumn="1" showLastColumn="1" showRowStripes="1"/>
</table>
</file>

<file path=xl/tables/table9.xml><?xml version="1.0" encoding="utf-8"?>
<table xmlns="http://schemas.openxmlformats.org/spreadsheetml/2006/main" ref="A31:D34" displayName="Table_9" name="Table_9" id="8">
  <tableColumns count="4">
    <tableColumn name="No." id="1"/>
    <tableColumn name="Pregunta" id="2"/>
    <tableColumn name="SI" id="3"/>
    <tableColumn name="NO " id="4"/>
  </tableColumns>
  <tableStyleInfo name="Hoja 1-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 Id="rId9" Type="http://schemas.openxmlformats.org/officeDocument/2006/relationships/table" Target="../tables/table6.xml"/><Relationship Id="rId7" Type="http://schemas.openxmlformats.org/officeDocument/2006/relationships/table" Target="../tables/table4.xml"/><Relationship Id="rId8"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 Id="rId9" Type="http://schemas.openxmlformats.org/officeDocument/2006/relationships/table" Target="../tables/table9.xml"/><Relationship Id="rId7" Type="http://schemas.openxmlformats.org/officeDocument/2006/relationships/table" Target="../tables/table7.xml"/><Relationship Id="rId8" Type="http://schemas.openxmlformats.org/officeDocument/2006/relationships/table" Target="../tables/table8.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57"/>
    <col customWidth="1" min="2" max="2" width="4.43"/>
    <col customWidth="1" min="3" max="3" width="3.71"/>
    <col customWidth="1" min="4" max="4" width="34.86"/>
    <col customWidth="1" min="5" max="5" width="9.71"/>
    <col customWidth="1" min="6" max="6" width="42.71"/>
    <col customWidth="1" min="7" max="7" width="10.14"/>
    <col customWidth="1" hidden="1" min="8" max="8" width="4.71"/>
    <col customWidth="1" min="9" max="9" width="42.71"/>
    <col customWidth="1" min="10" max="10" width="9.86"/>
    <col customWidth="1" min="11" max="11" width="39.57"/>
  </cols>
  <sheetData>
    <row r="1" ht="14.25" customHeight="1">
      <c r="C1" s="1"/>
    </row>
    <row r="2" ht="14.25" customHeight="1">
      <c r="C2" s="1"/>
    </row>
    <row r="3" ht="30.0" customHeight="1">
      <c r="C3" s="2" t="s">
        <v>0</v>
      </c>
    </row>
    <row r="4" ht="30.0" customHeight="1"/>
    <row r="5" ht="30.0" customHeight="1">
      <c r="C5" s="2"/>
      <c r="D5" s="3" t="s">
        <v>1</v>
      </c>
      <c r="E5" s="4" t="s">
        <v>2</v>
      </c>
    </row>
    <row r="6" ht="55.5" customHeight="1">
      <c r="C6" s="1"/>
      <c r="F6" s="5" t="s">
        <v>3</v>
      </c>
      <c r="G6" s="6"/>
      <c r="H6" s="6"/>
      <c r="I6" s="6"/>
      <c r="J6" s="6"/>
      <c r="K6" s="7"/>
    </row>
    <row r="7" ht="45.0" customHeight="1">
      <c r="B7" s="8" t="s">
        <v>4</v>
      </c>
      <c r="C7" s="9" t="s">
        <v>5</v>
      </c>
      <c r="D7" s="10"/>
      <c r="E7" s="11" t="s">
        <v>6</v>
      </c>
      <c r="F7" s="12" t="s">
        <v>7</v>
      </c>
      <c r="G7" s="11" t="s">
        <v>6</v>
      </c>
      <c r="H7" s="13">
        <v>100.0</v>
      </c>
      <c r="I7" s="12" t="s">
        <v>8</v>
      </c>
      <c r="J7" s="11" t="s">
        <v>6</v>
      </c>
      <c r="K7" s="12" t="s">
        <v>9</v>
      </c>
    </row>
    <row r="8" ht="60.0" customHeight="1">
      <c r="B8" s="14"/>
      <c r="C8" s="15"/>
      <c r="D8" s="16"/>
      <c r="E8" s="14"/>
      <c r="F8" s="14"/>
      <c r="G8" s="14"/>
      <c r="H8" s="13">
        <v>0.0</v>
      </c>
      <c r="I8" s="14"/>
      <c r="J8" s="14"/>
      <c r="K8" s="14"/>
    </row>
    <row r="9">
      <c r="B9" s="17">
        <v>1.0</v>
      </c>
      <c r="C9" s="18" t="s">
        <v>10</v>
      </c>
      <c r="D9" s="7"/>
      <c r="E9" s="19" t="s">
        <v>11</v>
      </c>
      <c r="F9" s="20" t="s">
        <v>12</v>
      </c>
      <c r="G9" s="19" t="s">
        <v>11</v>
      </c>
      <c r="H9" s="21">
        <v>1.0</v>
      </c>
      <c r="I9" s="22" t="s">
        <v>13</v>
      </c>
      <c r="J9" s="19" t="s">
        <v>11</v>
      </c>
      <c r="K9" s="20" t="s">
        <v>14</v>
      </c>
    </row>
    <row r="10">
      <c r="B10" s="17">
        <v>2.0</v>
      </c>
      <c r="C10" s="18" t="s">
        <v>15</v>
      </c>
      <c r="D10" s="7"/>
      <c r="E10" s="19" t="s">
        <v>11</v>
      </c>
      <c r="F10" s="23" t="s">
        <v>16</v>
      </c>
      <c r="G10" s="19" t="s">
        <v>11</v>
      </c>
      <c r="I10" s="23" t="s">
        <v>16</v>
      </c>
      <c r="J10" s="19" t="s">
        <v>11</v>
      </c>
      <c r="K10" s="23" t="s">
        <v>16</v>
      </c>
    </row>
    <row r="11">
      <c r="B11" s="17">
        <v>3.0</v>
      </c>
      <c r="C11" s="18" t="s">
        <v>17</v>
      </c>
      <c r="D11" s="7"/>
      <c r="E11" s="19" t="s">
        <v>11</v>
      </c>
      <c r="F11" s="23" t="s">
        <v>18</v>
      </c>
      <c r="G11" s="19" t="s">
        <v>11</v>
      </c>
      <c r="I11" s="23" t="s">
        <v>18</v>
      </c>
      <c r="J11" s="19" t="s">
        <v>11</v>
      </c>
      <c r="K11" s="23" t="s">
        <v>18</v>
      </c>
    </row>
    <row r="12">
      <c r="B12" s="17">
        <v>4.0</v>
      </c>
      <c r="C12" s="18" t="s">
        <v>19</v>
      </c>
      <c r="D12" s="7"/>
      <c r="E12" s="24" t="s">
        <v>20</v>
      </c>
      <c r="F12" s="25" t="s">
        <v>21</v>
      </c>
      <c r="G12" s="24" t="s">
        <v>20</v>
      </c>
      <c r="I12" s="25" t="s">
        <v>21</v>
      </c>
      <c r="J12" s="24" t="s">
        <v>20</v>
      </c>
      <c r="K12" s="26" t="s">
        <v>22</v>
      </c>
    </row>
    <row r="13">
      <c r="B13" s="17">
        <v>5.0</v>
      </c>
      <c r="C13" s="18" t="s">
        <v>23</v>
      </c>
      <c r="D13" s="7"/>
      <c r="E13" s="19" t="s">
        <v>11</v>
      </c>
      <c r="F13" s="25" t="s">
        <v>24</v>
      </c>
      <c r="G13" s="19" t="s">
        <v>11</v>
      </c>
      <c r="I13" s="25" t="s">
        <v>24</v>
      </c>
      <c r="J13" s="19" t="s">
        <v>11</v>
      </c>
      <c r="K13" s="25" t="s">
        <v>24</v>
      </c>
    </row>
    <row r="14">
      <c r="B14" s="17">
        <v>6.0</v>
      </c>
      <c r="C14" s="18" t="s">
        <v>25</v>
      </c>
      <c r="D14" s="7"/>
      <c r="E14" s="19" t="s">
        <v>11</v>
      </c>
      <c r="F14" s="25" t="s">
        <v>26</v>
      </c>
      <c r="G14" s="19" t="s">
        <v>11</v>
      </c>
      <c r="I14" s="25" t="s">
        <v>27</v>
      </c>
      <c r="J14" s="19" t="s">
        <v>11</v>
      </c>
      <c r="K14" s="25" t="s">
        <v>27</v>
      </c>
    </row>
    <row r="15">
      <c r="B15" s="17">
        <v>7.0</v>
      </c>
      <c r="C15" s="18" t="s">
        <v>28</v>
      </c>
      <c r="D15" s="7"/>
      <c r="E15" s="19" t="s">
        <v>11</v>
      </c>
      <c r="F15" s="25" t="s">
        <v>29</v>
      </c>
      <c r="G15" s="19" t="s">
        <v>11</v>
      </c>
      <c r="I15" s="25" t="s">
        <v>29</v>
      </c>
      <c r="J15" s="19" t="s">
        <v>11</v>
      </c>
      <c r="K15" s="25" t="s">
        <v>29</v>
      </c>
    </row>
    <row r="16">
      <c r="B16" s="17">
        <v>8.0</v>
      </c>
      <c r="C16" s="18" t="s">
        <v>30</v>
      </c>
      <c r="D16" s="7"/>
      <c r="E16" s="19" t="s">
        <v>11</v>
      </c>
      <c r="F16" s="25" t="s">
        <v>31</v>
      </c>
      <c r="G16" s="19" t="s">
        <v>11</v>
      </c>
      <c r="I16" s="25" t="s">
        <v>31</v>
      </c>
      <c r="J16" s="19" t="s">
        <v>11</v>
      </c>
      <c r="K16" s="25" t="s">
        <v>31</v>
      </c>
    </row>
    <row r="17">
      <c r="B17" s="17">
        <v>9.0</v>
      </c>
      <c r="C17" s="18" t="s">
        <v>32</v>
      </c>
      <c r="D17" s="7"/>
      <c r="E17" s="19" t="s">
        <v>11</v>
      </c>
      <c r="F17" s="27" t="s">
        <v>33</v>
      </c>
      <c r="G17" s="19" t="s">
        <v>11</v>
      </c>
      <c r="I17" s="27" t="s">
        <v>33</v>
      </c>
      <c r="J17" s="19" t="s">
        <v>11</v>
      </c>
      <c r="K17" s="27" t="s">
        <v>34</v>
      </c>
    </row>
    <row r="18">
      <c r="B18" s="17">
        <v>10.0</v>
      </c>
      <c r="C18" s="18" t="s">
        <v>35</v>
      </c>
      <c r="D18" s="7"/>
      <c r="E18" s="19" t="s">
        <v>11</v>
      </c>
      <c r="F18" s="25" t="s">
        <v>36</v>
      </c>
      <c r="G18" s="19" t="s">
        <v>11</v>
      </c>
      <c r="I18" s="25" t="s">
        <v>37</v>
      </c>
      <c r="J18" s="19" t="s">
        <v>11</v>
      </c>
      <c r="K18" s="25" t="s">
        <v>38</v>
      </c>
    </row>
    <row r="19">
      <c r="B19" s="17">
        <v>11.0</v>
      </c>
      <c r="C19" s="18" t="s">
        <v>39</v>
      </c>
      <c r="D19" s="7"/>
      <c r="E19" s="19" t="s">
        <v>11</v>
      </c>
      <c r="F19" s="25" t="s">
        <v>40</v>
      </c>
      <c r="G19" s="19" t="s">
        <v>11</v>
      </c>
      <c r="I19" s="25" t="s">
        <v>41</v>
      </c>
      <c r="J19" s="19" t="s">
        <v>11</v>
      </c>
      <c r="K19" s="25" t="s">
        <v>41</v>
      </c>
    </row>
    <row r="20" ht="14.25" customHeight="1">
      <c r="C20" s="1"/>
    </row>
    <row r="21" ht="14.25" customHeight="1">
      <c r="C21" s="1"/>
    </row>
    <row r="22" ht="14.25" customHeight="1">
      <c r="C22" s="1"/>
    </row>
    <row r="23" ht="14.25" customHeight="1">
      <c r="C23" s="1"/>
    </row>
    <row r="24" ht="14.25" customHeight="1">
      <c r="C24" s="1"/>
    </row>
    <row r="25" ht="14.25" customHeight="1">
      <c r="C25" s="1"/>
    </row>
    <row r="26" ht="14.25" customHeight="1">
      <c r="C26" s="1"/>
    </row>
    <row r="27" ht="14.25" customHeight="1">
      <c r="C27" s="1"/>
    </row>
    <row r="28" ht="14.25" customHeight="1">
      <c r="C28" s="1"/>
    </row>
    <row r="29" ht="14.25" customHeight="1">
      <c r="C29" s="1"/>
    </row>
    <row r="30" ht="14.25" customHeight="1">
      <c r="C30" s="1"/>
    </row>
    <row r="31" ht="14.25" customHeight="1">
      <c r="C31" s="1"/>
    </row>
    <row r="32" ht="14.25" customHeight="1">
      <c r="C32" s="1"/>
    </row>
    <row r="33" ht="14.25" customHeight="1">
      <c r="C33" s="1"/>
    </row>
    <row r="34" ht="14.25" customHeight="1">
      <c r="C34" s="1"/>
    </row>
    <row r="35" ht="14.25" customHeight="1">
      <c r="C35" s="1"/>
    </row>
    <row r="36" ht="14.25" customHeight="1">
      <c r="C36" s="1"/>
    </row>
    <row r="37" ht="14.25" customHeight="1">
      <c r="C37" s="1"/>
    </row>
    <row r="38" ht="14.25" customHeight="1">
      <c r="C38" s="1"/>
    </row>
    <row r="39" ht="14.25" customHeight="1">
      <c r="C39" s="1"/>
    </row>
    <row r="40" ht="14.25" customHeight="1">
      <c r="C40" s="1"/>
    </row>
    <row r="41" ht="14.25" customHeight="1">
      <c r="C41" s="1"/>
    </row>
    <row r="42" ht="14.25" customHeight="1">
      <c r="C42" s="1"/>
    </row>
    <row r="43" ht="14.25" customHeight="1">
      <c r="C43" s="1"/>
    </row>
    <row r="44" ht="14.25" customHeight="1">
      <c r="C44" s="1"/>
    </row>
    <row r="45" ht="14.25" customHeight="1">
      <c r="C45" s="1"/>
    </row>
    <row r="46" ht="14.25" customHeight="1">
      <c r="C46" s="1"/>
    </row>
    <row r="47" ht="14.25" customHeight="1">
      <c r="C47" s="1"/>
    </row>
    <row r="48" ht="14.25" customHeight="1">
      <c r="C48" s="1"/>
    </row>
    <row r="49" ht="14.25" customHeight="1">
      <c r="C49" s="1"/>
    </row>
    <row r="50" ht="14.25" customHeight="1">
      <c r="C50" s="1"/>
    </row>
    <row r="51" ht="14.25" customHeight="1">
      <c r="C51" s="1"/>
    </row>
    <row r="52" ht="14.25" customHeight="1">
      <c r="C52" s="1"/>
    </row>
    <row r="53" ht="14.25" customHeight="1">
      <c r="C53" s="1"/>
    </row>
    <row r="54" ht="14.25" customHeight="1">
      <c r="C54" s="1"/>
    </row>
    <row r="55" ht="14.25" customHeight="1">
      <c r="C55" s="1"/>
    </row>
    <row r="56" ht="14.25" customHeight="1">
      <c r="C56" s="1"/>
    </row>
    <row r="57" ht="14.25" customHeight="1">
      <c r="C57" s="1"/>
    </row>
    <row r="58" ht="14.25" customHeight="1">
      <c r="C58" s="1"/>
    </row>
    <row r="59" ht="14.25" customHeight="1">
      <c r="C59" s="1"/>
    </row>
    <row r="60" ht="14.25" customHeight="1">
      <c r="C60" s="1"/>
    </row>
    <row r="61" ht="14.25" customHeight="1">
      <c r="C61" s="1"/>
    </row>
    <row r="62" ht="14.25" customHeight="1">
      <c r="C62" s="1"/>
    </row>
    <row r="63" ht="14.25" customHeight="1">
      <c r="C63" s="1"/>
    </row>
    <row r="64" ht="14.25" customHeight="1">
      <c r="C64" s="1"/>
    </row>
    <row r="65" ht="14.25" customHeight="1">
      <c r="C65" s="1"/>
    </row>
    <row r="66" ht="14.25" customHeight="1">
      <c r="C66" s="1"/>
    </row>
    <row r="67" ht="14.25" customHeight="1">
      <c r="C67" s="1"/>
    </row>
    <row r="68" ht="14.25" customHeight="1">
      <c r="C68" s="1"/>
    </row>
    <row r="69" ht="14.25" customHeight="1">
      <c r="C69" s="1"/>
    </row>
    <row r="70" ht="14.25" customHeight="1">
      <c r="C70" s="1"/>
    </row>
    <row r="71" ht="14.25" customHeight="1">
      <c r="C71" s="1"/>
    </row>
    <row r="72" ht="14.25" customHeight="1">
      <c r="C72" s="1"/>
    </row>
    <row r="73" ht="14.25" customHeight="1">
      <c r="C73" s="1"/>
    </row>
    <row r="74" ht="14.25" customHeight="1">
      <c r="C74" s="1"/>
    </row>
    <row r="75" ht="14.25" customHeight="1">
      <c r="C75" s="1"/>
    </row>
    <row r="76" ht="14.25" customHeight="1">
      <c r="C76" s="1"/>
    </row>
    <row r="77" ht="14.25" customHeight="1">
      <c r="C77" s="1"/>
    </row>
    <row r="78" ht="14.25" customHeight="1">
      <c r="C78" s="1"/>
    </row>
    <row r="79" ht="14.25" customHeight="1">
      <c r="C79" s="1"/>
    </row>
    <row r="80" ht="14.25" customHeight="1">
      <c r="C80" s="1"/>
    </row>
    <row r="81" ht="14.25" customHeight="1">
      <c r="C81" s="1"/>
    </row>
    <row r="82" ht="14.25" customHeight="1">
      <c r="C82" s="1"/>
    </row>
    <row r="83" ht="14.25" customHeight="1">
      <c r="C83" s="1"/>
    </row>
    <row r="84" ht="14.25" customHeight="1">
      <c r="C84" s="1"/>
    </row>
    <row r="85" ht="14.25" customHeight="1">
      <c r="C85" s="1"/>
    </row>
    <row r="86" ht="14.25" customHeight="1">
      <c r="C86" s="1"/>
    </row>
    <row r="87" ht="14.25" customHeight="1">
      <c r="C87" s="1"/>
    </row>
    <row r="88" ht="14.25" customHeight="1">
      <c r="C88" s="1"/>
    </row>
    <row r="89" ht="14.25" customHeight="1">
      <c r="C89" s="1"/>
    </row>
    <row r="90" ht="14.25" customHeight="1">
      <c r="C90" s="1"/>
    </row>
    <row r="91" ht="14.25" customHeight="1">
      <c r="C91" s="1"/>
    </row>
    <row r="92" ht="14.25" customHeight="1">
      <c r="C92" s="1"/>
    </row>
    <row r="93" ht="14.25" customHeight="1">
      <c r="C93" s="1"/>
    </row>
    <row r="94" ht="14.25" customHeight="1">
      <c r="C94" s="1"/>
    </row>
    <row r="95" ht="14.25" customHeight="1">
      <c r="C95" s="1"/>
    </row>
    <row r="96" ht="14.25" customHeight="1">
      <c r="C96" s="1"/>
    </row>
    <row r="97" ht="14.25" customHeight="1">
      <c r="C97" s="1"/>
    </row>
    <row r="98" ht="14.25" customHeight="1">
      <c r="C98" s="1"/>
    </row>
    <row r="99" ht="14.25" customHeight="1">
      <c r="C99" s="1"/>
    </row>
    <row r="100" ht="14.25" customHeight="1">
      <c r="C100" s="1"/>
    </row>
    <row r="101" ht="14.25" customHeight="1">
      <c r="C101" s="1"/>
    </row>
    <row r="102" ht="14.25" customHeight="1">
      <c r="C102" s="1"/>
    </row>
    <row r="103" ht="14.25" customHeight="1">
      <c r="C103" s="1"/>
    </row>
    <row r="104" ht="14.25" customHeight="1">
      <c r="C104" s="1"/>
    </row>
    <row r="105" ht="14.25" customHeight="1">
      <c r="C105" s="1"/>
    </row>
    <row r="106" ht="14.25" customHeight="1">
      <c r="C106" s="1"/>
    </row>
    <row r="107" ht="14.25" customHeight="1">
      <c r="C107" s="1"/>
    </row>
    <row r="108" ht="14.25" customHeight="1">
      <c r="C108" s="1"/>
    </row>
    <row r="109" ht="14.25" customHeight="1">
      <c r="C109" s="1"/>
    </row>
    <row r="110" ht="14.25" customHeight="1">
      <c r="C110" s="1"/>
    </row>
    <row r="111" ht="14.25" customHeight="1">
      <c r="C111" s="1"/>
    </row>
    <row r="112" ht="14.25" customHeight="1">
      <c r="C112" s="1"/>
    </row>
    <row r="113" ht="14.25" customHeight="1">
      <c r="C113" s="1"/>
    </row>
    <row r="114" ht="14.25" customHeight="1">
      <c r="C114" s="1"/>
    </row>
    <row r="115" ht="14.25" customHeight="1">
      <c r="C115" s="1"/>
    </row>
    <row r="116" ht="14.25" customHeight="1">
      <c r="C116" s="1"/>
    </row>
    <row r="117" ht="14.25" customHeight="1">
      <c r="C117" s="1"/>
    </row>
    <row r="118" ht="14.25" customHeight="1">
      <c r="C118" s="1"/>
    </row>
    <row r="119" ht="14.25" customHeight="1">
      <c r="C119" s="1"/>
    </row>
    <row r="120" ht="14.25" customHeight="1">
      <c r="C120" s="1"/>
    </row>
    <row r="121" ht="14.25" customHeight="1">
      <c r="C121" s="1"/>
    </row>
    <row r="122" ht="14.25" customHeight="1">
      <c r="C122" s="1"/>
    </row>
    <row r="123" ht="14.25" customHeight="1">
      <c r="C123" s="1"/>
    </row>
    <row r="124" ht="14.25" customHeight="1">
      <c r="C124" s="1"/>
    </row>
    <row r="125" ht="14.25" customHeight="1">
      <c r="C125" s="1"/>
    </row>
    <row r="126" ht="14.25" customHeight="1">
      <c r="C126" s="1"/>
    </row>
    <row r="127" ht="14.25" customHeight="1">
      <c r="C127" s="1"/>
    </row>
    <row r="128" ht="14.25" customHeight="1">
      <c r="C128" s="1"/>
    </row>
    <row r="129" ht="14.25" customHeight="1">
      <c r="C129" s="1"/>
    </row>
    <row r="130" ht="14.25" customHeight="1">
      <c r="C130" s="1"/>
    </row>
    <row r="131" ht="14.25" customHeight="1">
      <c r="C131" s="1"/>
    </row>
    <row r="132" ht="14.25" customHeight="1">
      <c r="C132" s="1"/>
    </row>
    <row r="133" ht="14.25" customHeight="1">
      <c r="C133" s="1"/>
    </row>
    <row r="134" ht="14.25" customHeight="1">
      <c r="C134" s="1"/>
    </row>
    <row r="135" ht="14.25" customHeight="1">
      <c r="C135" s="1"/>
    </row>
    <row r="136" ht="14.25" customHeight="1">
      <c r="C136" s="1"/>
    </row>
    <row r="137" ht="14.25" customHeight="1">
      <c r="C137" s="1"/>
    </row>
    <row r="138" ht="14.25" customHeight="1">
      <c r="C138" s="1"/>
    </row>
    <row r="139" ht="14.25" customHeight="1">
      <c r="C139" s="1"/>
    </row>
    <row r="140" ht="14.25" customHeight="1">
      <c r="C140" s="1"/>
    </row>
    <row r="141" ht="14.25" customHeight="1">
      <c r="C141" s="1"/>
    </row>
    <row r="142" ht="14.25" customHeight="1">
      <c r="C142" s="1"/>
    </row>
    <row r="143" ht="14.25" customHeight="1">
      <c r="C143" s="1"/>
    </row>
    <row r="144" ht="14.25" customHeight="1">
      <c r="C144" s="1"/>
    </row>
    <row r="145" ht="14.25" customHeight="1">
      <c r="C145" s="1"/>
    </row>
    <row r="146" ht="14.25" customHeight="1">
      <c r="C146" s="1"/>
    </row>
    <row r="147" ht="14.25" customHeight="1">
      <c r="C147" s="1"/>
    </row>
    <row r="148" ht="14.25" customHeight="1">
      <c r="C148" s="1"/>
    </row>
    <row r="149" ht="14.25" customHeight="1">
      <c r="C149" s="1"/>
    </row>
    <row r="150" ht="14.25" customHeight="1">
      <c r="C150" s="1"/>
    </row>
    <row r="151" ht="14.25" customHeight="1">
      <c r="C151" s="1"/>
    </row>
    <row r="152" ht="14.25" customHeight="1">
      <c r="C152" s="1"/>
    </row>
    <row r="153" ht="14.25" customHeight="1">
      <c r="C153" s="1"/>
    </row>
    <row r="154" ht="14.25" customHeight="1">
      <c r="C154" s="1"/>
    </row>
    <row r="155" ht="14.25" customHeight="1">
      <c r="C155" s="1"/>
    </row>
    <row r="156" ht="14.25" customHeight="1">
      <c r="C156" s="1"/>
    </row>
    <row r="157" ht="14.25" customHeight="1">
      <c r="C157" s="1"/>
    </row>
    <row r="158" ht="14.25" customHeight="1">
      <c r="C158" s="1"/>
    </row>
    <row r="159" ht="14.25" customHeight="1">
      <c r="C159" s="1"/>
    </row>
    <row r="160" ht="14.25" customHeight="1">
      <c r="C160" s="1"/>
    </row>
    <row r="161" ht="14.25" customHeight="1">
      <c r="C161" s="1"/>
    </row>
    <row r="162" ht="14.25" customHeight="1">
      <c r="C162" s="1"/>
    </row>
    <row r="163" ht="14.25" customHeight="1">
      <c r="C163" s="1"/>
    </row>
    <row r="164" ht="14.25" customHeight="1">
      <c r="C164" s="1"/>
    </row>
    <row r="165" ht="14.25" customHeight="1">
      <c r="C165" s="1"/>
    </row>
    <row r="166" ht="14.25" customHeight="1">
      <c r="C166" s="1"/>
    </row>
    <row r="167" ht="14.25" customHeight="1">
      <c r="C167" s="1"/>
    </row>
    <row r="168" ht="14.25" customHeight="1">
      <c r="C168" s="1"/>
    </row>
    <row r="169" ht="14.25" customHeight="1">
      <c r="C169" s="1"/>
    </row>
    <row r="170" ht="14.25" customHeight="1">
      <c r="C170" s="1"/>
    </row>
    <row r="171" ht="14.25" customHeight="1">
      <c r="C171" s="1"/>
    </row>
    <row r="172" ht="14.25" customHeight="1">
      <c r="C172" s="1"/>
    </row>
    <row r="173" ht="14.25" customHeight="1">
      <c r="C173" s="1"/>
    </row>
    <row r="174" ht="14.25" customHeight="1">
      <c r="C174" s="1"/>
    </row>
    <row r="175" ht="14.25" customHeight="1">
      <c r="C175" s="1"/>
    </row>
    <row r="176" ht="14.25" customHeight="1">
      <c r="C176" s="1"/>
    </row>
    <row r="177" ht="14.25" customHeight="1">
      <c r="C177" s="1"/>
    </row>
    <row r="178" ht="14.25" customHeight="1">
      <c r="C178" s="1"/>
    </row>
    <row r="179" ht="14.25" customHeight="1">
      <c r="C179" s="1"/>
    </row>
    <row r="180" ht="14.25" customHeight="1">
      <c r="C180" s="1"/>
    </row>
    <row r="181" ht="14.25" customHeight="1">
      <c r="C181" s="1"/>
    </row>
    <row r="182" ht="14.25" customHeight="1">
      <c r="C182" s="1"/>
    </row>
    <row r="183" ht="14.25" customHeight="1">
      <c r="C183" s="1"/>
    </row>
    <row r="184" ht="14.25" customHeight="1">
      <c r="C184" s="1"/>
    </row>
    <row r="185" ht="14.25" customHeight="1">
      <c r="C185" s="1"/>
    </row>
    <row r="186" ht="14.25" customHeight="1">
      <c r="C186" s="1"/>
    </row>
    <row r="187" ht="14.25" customHeight="1">
      <c r="C187" s="1"/>
    </row>
    <row r="188" ht="14.25" customHeight="1">
      <c r="C188" s="1"/>
    </row>
    <row r="189" ht="14.25" customHeight="1">
      <c r="C189" s="1"/>
    </row>
    <row r="190" ht="14.25" customHeight="1">
      <c r="C190" s="1"/>
    </row>
    <row r="191" ht="14.25" customHeight="1">
      <c r="C191" s="1"/>
    </row>
    <row r="192" ht="14.25" customHeight="1">
      <c r="C192" s="1"/>
    </row>
    <row r="193" ht="14.25" customHeight="1">
      <c r="C193" s="1"/>
    </row>
    <row r="194" ht="14.25" customHeight="1">
      <c r="C194" s="1"/>
    </row>
    <row r="195" ht="14.25" customHeight="1">
      <c r="C195" s="1"/>
    </row>
    <row r="196" ht="14.25" customHeight="1">
      <c r="C196" s="1"/>
    </row>
    <row r="197" ht="14.25" customHeight="1">
      <c r="C197" s="1"/>
    </row>
    <row r="198" ht="14.25" customHeight="1">
      <c r="C198" s="1"/>
    </row>
    <row r="199" ht="14.25" customHeight="1">
      <c r="C199" s="1"/>
    </row>
    <row r="200" ht="14.25" customHeight="1">
      <c r="C200" s="1"/>
    </row>
    <row r="201" ht="14.25" customHeight="1">
      <c r="C201" s="1"/>
    </row>
    <row r="202" ht="14.25" customHeight="1">
      <c r="C202" s="1"/>
    </row>
    <row r="203" ht="14.25" customHeight="1">
      <c r="C203" s="1"/>
    </row>
    <row r="204" ht="14.25" customHeight="1">
      <c r="C204" s="1"/>
    </row>
    <row r="205" ht="14.25" customHeight="1">
      <c r="C205" s="1"/>
    </row>
    <row r="206" ht="14.25" customHeight="1">
      <c r="C206" s="1"/>
    </row>
    <row r="207" ht="14.25" customHeight="1">
      <c r="C207" s="1"/>
    </row>
    <row r="208" ht="14.25" customHeight="1">
      <c r="C208" s="1"/>
    </row>
    <row r="209" ht="14.25" customHeight="1">
      <c r="C209" s="1"/>
    </row>
    <row r="210" ht="14.25" customHeight="1">
      <c r="C210" s="1"/>
    </row>
    <row r="211" ht="14.25" customHeight="1">
      <c r="C211" s="1"/>
    </row>
    <row r="212" ht="14.25" customHeight="1">
      <c r="C212" s="1"/>
    </row>
    <row r="213" ht="14.25" customHeight="1">
      <c r="C213" s="1"/>
    </row>
    <row r="214" ht="14.25" customHeight="1">
      <c r="C214" s="1"/>
    </row>
    <row r="215" ht="14.25" customHeight="1">
      <c r="C215" s="1"/>
    </row>
    <row r="216" ht="14.25" customHeight="1">
      <c r="C216" s="1"/>
    </row>
    <row r="217" ht="14.25" customHeight="1">
      <c r="C217" s="1"/>
    </row>
    <row r="218" ht="14.25" customHeight="1">
      <c r="C218" s="1"/>
    </row>
    <row r="219" ht="14.25" customHeight="1">
      <c r="C219" s="1"/>
    </row>
    <row r="220" ht="14.25" customHeight="1">
      <c r="C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2">
    <mergeCell ref="G7:G8"/>
    <mergeCell ref="I7:I8"/>
    <mergeCell ref="J7:J8"/>
    <mergeCell ref="K7:K8"/>
    <mergeCell ref="C3:K4"/>
    <mergeCell ref="E5:K5"/>
    <mergeCell ref="F6:K6"/>
    <mergeCell ref="B7:B8"/>
    <mergeCell ref="C7:D8"/>
    <mergeCell ref="E7:E8"/>
    <mergeCell ref="F7:F8"/>
    <mergeCell ref="C16:D16"/>
    <mergeCell ref="C17:D17"/>
    <mergeCell ref="C18:D18"/>
    <mergeCell ref="C19:D19"/>
    <mergeCell ref="C9:D9"/>
    <mergeCell ref="C10:D10"/>
    <mergeCell ref="C11:D11"/>
    <mergeCell ref="C12:D12"/>
    <mergeCell ref="C13:D13"/>
    <mergeCell ref="C14:D14"/>
    <mergeCell ref="C15:D15"/>
  </mergeCells>
  <printOptions horizontalCentered="1" verticalCentered="1"/>
  <pageMargins bottom="0.7480314960629921" footer="0.0" header="0.0" left="0.47" right="0.7086614173228347" top="0.7480314960629921"/>
  <pageSetup paperSize="9" scale="56" orientation="landscape"/>
  <headerFooter>
    <oddFooter>&amp;LElaborado por: Ing Jenny A Ruiz R, Mónica  Gómez Docentes TC del Departamento de Ciencias de la  Computación IREB PROYECTO DE CHECK LIST  (CASO DE ESTUDIO ACADÉMICO)&amp;C&amp;P de &amp;R&amp;D</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26.71"/>
    <col customWidth="1" min="4" max="4" width="20.0"/>
    <col customWidth="1" min="5" max="24" width="10.71"/>
  </cols>
  <sheetData>
    <row r="1" ht="51.0" customHeight="1">
      <c r="A1" s="28"/>
      <c r="B1" s="29" t="s">
        <v>1</v>
      </c>
      <c r="C1" s="30" t="s">
        <v>2</v>
      </c>
      <c r="E1" s="28"/>
      <c r="F1" s="28"/>
      <c r="G1" s="28"/>
      <c r="H1" s="28"/>
      <c r="I1" s="28"/>
      <c r="J1" s="28"/>
      <c r="K1" s="28"/>
      <c r="L1" s="28"/>
      <c r="M1" s="28"/>
      <c r="N1" s="28"/>
      <c r="O1" s="28"/>
      <c r="P1" s="28"/>
      <c r="Q1" s="28"/>
      <c r="R1" s="28"/>
      <c r="S1" s="28"/>
      <c r="T1" s="28"/>
      <c r="U1" s="28"/>
      <c r="V1" s="28"/>
      <c r="W1" s="28"/>
      <c r="X1" s="28"/>
      <c r="Y1" s="28"/>
      <c r="Z1" s="28"/>
    </row>
    <row r="2">
      <c r="B2" s="31" t="s">
        <v>42</v>
      </c>
      <c r="C2" s="32">
        <v>46296.0</v>
      </c>
    </row>
    <row r="3">
      <c r="B3" s="31" t="s">
        <v>43</v>
      </c>
      <c r="C3" s="33" t="s">
        <v>48</v>
      </c>
    </row>
    <row r="4">
      <c r="B4" s="31" t="s">
        <v>46</v>
      </c>
      <c r="C4" s="33" t="s">
        <v>50</v>
      </c>
    </row>
    <row r="5" ht="14.25" customHeight="1"/>
    <row r="6">
      <c r="A6" s="34" t="s">
        <v>49</v>
      </c>
    </row>
    <row r="7" ht="15.0" customHeight="1">
      <c r="A7" s="35" t="s">
        <v>51</v>
      </c>
      <c r="B7" s="36" t="s">
        <v>52</v>
      </c>
      <c r="C7" s="36" t="s">
        <v>53</v>
      </c>
      <c r="D7" s="37" t="s">
        <v>54</v>
      </c>
    </row>
    <row r="8">
      <c r="A8" s="38">
        <v>1.0</v>
      </c>
      <c r="B8" s="39" t="s">
        <v>55</v>
      </c>
      <c r="C8" s="40" t="s">
        <v>56</v>
      </c>
      <c r="D8" s="41"/>
    </row>
    <row r="9">
      <c r="A9" s="38">
        <v>2.0</v>
      </c>
      <c r="B9" s="39" t="s">
        <v>57</v>
      </c>
      <c r="C9" s="40" t="s">
        <v>56</v>
      </c>
      <c r="D9" s="41"/>
    </row>
    <row r="10">
      <c r="A10" s="38">
        <v>3.0</v>
      </c>
      <c r="B10" s="39" t="s">
        <v>58</v>
      </c>
      <c r="C10" s="40" t="s">
        <v>56</v>
      </c>
      <c r="D10" s="41"/>
    </row>
    <row r="11">
      <c r="A11" s="38">
        <v>4.0</v>
      </c>
      <c r="B11" s="39" t="s">
        <v>59</v>
      </c>
      <c r="C11" s="40" t="s">
        <v>56</v>
      </c>
      <c r="D11" s="41"/>
    </row>
    <row r="12">
      <c r="A12" s="38">
        <v>5.0</v>
      </c>
      <c r="B12" s="39" t="s">
        <v>60</v>
      </c>
      <c r="C12" s="40" t="s">
        <v>56</v>
      </c>
      <c r="D12" s="41"/>
    </row>
    <row r="13">
      <c r="A13" s="38">
        <v>6.0</v>
      </c>
      <c r="B13" s="39" t="s">
        <v>61</v>
      </c>
      <c r="C13" s="40" t="s">
        <v>56</v>
      </c>
      <c r="D13" s="41"/>
    </row>
    <row r="14">
      <c r="A14" s="38">
        <v>7.0</v>
      </c>
      <c r="B14" s="39" t="s">
        <v>62</v>
      </c>
      <c r="C14" s="40"/>
      <c r="D14" s="40" t="s">
        <v>56</v>
      </c>
    </row>
    <row r="15">
      <c r="A15" s="38">
        <v>8.0</v>
      </c>
      <c r="B15" s="39" t="s">
        <v>63</v>
      </c>
      <c r="C15" s="40" t="s">
        <v>56</v>
      </c>
      <c r="D15" s="41"/>
    </row>
    <row r="16">
      <c r="A16" s="42">
        <v>9.0</v>
      </c>
      <c r="B16" s="43" t="s">
        <v>64</v>
      </c>
      <c r="C16" s="44" t="s">
        <v>56</v>
      </c>
      <c r="D16" s="44"/>
    </row>
    <row r="17">
      <c r="A17" s="45" t="s">
        <v>65</v>
      </c>
      <c r="C17" s="46">
        <f>COUNTA('MODELO LISTA DE COMPROBACION - '!$C$8:$C$16)</f>
        <v>8</v>
      </c>
      <c r="D17" s="46">
        <f>COUNTA('MODELO LISTA DE COMPROBACION - '!$D$8:$D$16)</f>
        <v>1</v>
      </c>
    </row>
    <row r="18">
      <c r="A18" s="45" t="s">
        <v>66</v>
      </c>
      <c r="C18" s="47">
        <f t="shared" ref="C18:D18" si="1">C17/9</f>
        <v>0.8888888889</v>
      </c>
      <c r="D18" s="47">
        <f t="shared" si="1"/>
        <v>0.1111111111</v>
      </c>
    </row>
    <row r="19">
      <c r="A19" s="45"/>
      <c r="B19" s="45"/>
      <c r="C19" s="47"/>
      <c r="D19" s="46"/>
    </row>
    <row r="20">
      <c r="A20" s="48" t="s">
        <v>67</v>
      </c>
      <c r="B20" s="49"/>
      <c r="C20" s="49"/>
      <c r="D20" s="49"/>
    </row>
    <row r="21">
      <c r="A21" s="50" t="s">
        <v>51</v>
      </c>
      <c r="B21" s="51" t="s">
        <v>52</v>
      </c>
      <c r="C21" s="52" t="s">
        <v>53</v>
      </c>
      <c r="D21" s="53" t="s">
        <v>54</v>
      </c>
    </row>
    <row r="22">
      <c r="A22" s="38">
        <v>1.0</v>
      </c>
      <c r="B22" s="39" t="s">
        <v>68</v>
      </c>
      <c r="C22" s="44" t="s">
        <v>56</v>
      </c>
      <c r="D22" s="41"/>
    </row>
    <row r="23">
      <c r="A23" s="38">
        <v>2.0</v>
      </c>
      <c r="B23" s="39" t="s">
        <v>69</v>
      </c>
      <c r="C23" s="44" t="s">
        <v>56</v>
      </c>
      <c r="D23" s="41"/>
    </row>
    <row r="24">
      <c r="A24" s="38">
        <v>3.0</v>
      </c>
      <c r="B24" s="39" t="s">
        <v>70</v>
      </c>
      <c r="C24" s="44" t="s">
        <v>56</v>
      </c>
      <c r="D24" s="41"/>
    </row>
    <row r="25">
      <c r="A25" s="38">
        <v>4.0</v>
      </c>
      <c r="B25" s="39" t="s">
        <v>71</v>
      </c>
      <c r="C25" s="44" t="s">
        <v>56</v>
      </c>
      <c r="D25" s="41"/>
    </row>
    <row r="26">
      <c r="A26" s="42">
        <v>5.0</v>
      </c>
      <c r="B26" s="43" t="s">
        <v>72</v>
      </c>
      <c r="C26" s="44" t="s">
        <v>56</v>
      </c>
      <c r="D26" s="54"/>
    </row>
    <row r="27">
      <c r="A27" s="45" t="s">
        <v>65</v>
      </c>
      <c r="C27" s="46">
        <f>COUNTA('MODELO LISTA DE COMPROBACION - '!$C$22:$C$26)</f>
        <v>5</v>
      </c>
      <c r="D27" s="46">
        <f>COUNTA('MODELO LISTA DE COMPROBACION - '!$D$22:$D$26)</f>
        <v>0</v>
      </c>
    </row>
    <row r="28">
      <c r="A28" s="45" t="s">
        <v>66</v>
      </c>
      <c r="C28" s="47">
        <f t="shared" ref="C28:D28" si="2">C27/5</f>
        <v>1</v>
      </c>
      <c r="D28" s="47">
        <f t="shared" si="2"/>
        <v>0</v>
      </c>
    </row>
    <row r="29">
      <c r="A29" s="45"/>
      <c r="B29" s="45"/>
      <c r="C29" s="47"/>
      <c r="D29" s="46"/>
    </row>
    <row r="30">
      <c r="A30" s="34" t="s">
        <v>73</v>
      </c>
    </row>
    <row r="31">
      <c r="A31" s="50" t="s">
        <v>51</v>
      </c>
      <c r="B31" s="51" t="s">
        <v>52</v>
      </c>
      <c r="C31" s="52" t="s">
        <v>53</v>
      </c>
      <c r="D31" s="53" t="s">
        <v>54</v>
      </c>
    </row>
    <row r="32">
      <c r="A32" s="38">
        <v>1.0</v>
      </c>
      <c r="B32" s="39" t="s">
        <v>74</v>
      </c>
      <c r="C32" s="44" t="s">
        <v>56</v>
      </c>
      <c r="D32" s="44"/>
    </row>
    <row r="33">
      <c r="A33" s="38">
        <v>2.0</v>
      </c>
      <c r="B33" s="39" t="s">
        <v>75</v>
      </c>
      <c r="C33" s="44" t="s">
        <v>56</v>
      </c>
      <c r="D33" s="44"/>
    </row>
    <row r="34">
      <c r="A34" s="42">
        <v>3.0</v>
      </c>
      <c r="B34" s="43" t="s">
        <v>76</v>
      </c>
      <c r="C34" s="44" t="s">
        <v>56</v>
      </c>
      <c r="D34" s="44"/>
    </row>
    <row r="35">
      <c r="A35" s="45" t="s">
        <v>65</v>
      </c>
      <c r="C35" s="21">
        <f>COUNTA('MODELO LISTA DE COMPROBACION - '!$C$32:$C$34)</f>
        <v>3</v>
      </c>
      <c r="D35" s="21">
        <f>COUNTA('MODELO LISTA DE COMPROBACION - '!$D$32:$D$34)</f>
        <v>0</v>
      </c>
    </row>
    <row r="36">
      <c r="A36" s="45" t="s">
        <v>66</v>
      </c>
      <c r="C36" s="47">
        <f t="shared" ref="C36:D36" si="3">C35/3</f>
        <v>1</v>
      </c>
      <c r="D36" s="47">
        <f t="shared" si="3"/>
        <v>0</v>
      </c>
    </row>
    <row r="37" ht="14.25" customHeight="1"/>
    <row r="38" ht="14.25" customHeight="1"/>
    <row r="39" ht="14.25" customHeight="1"/>
    <row r="40">
      <c r="A40" s="55" t="s">
        <v>77</v>
      </c>
    </row>
    <row r="41">
      <c r="B41" s="28" t="s">
        <v>78</v>
      </c>
      <c r="C41" s="46">
        <v>89.0</v>
      </c>
    </row>
    <row r="42">
      <c r="B42" s="28" t="s">
        <v>67</v>
      </c>
      <c r="C42" s="46">
        <v>100.0</v>
      </c>
    </row>
    <row r="43">
      <c r="B43" s="28" t="s">
        <v>73</v>
      </c>
      <c r="C43" s="46">
        <v>100.0</v>
      </c>
    </row>
    <row r="44" ht="14.25" customHeight="1">
      <c r="C44" s="46"/>
    </row>
    <row r="45" ht="14.25" customHeight="1">
      <c r="C45" s="46"/>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11" priority="1" operator="containsText" text="X">
      <formula>NOT(ISERROR(SEARCH(("X"),(A32))))</formula>
    </cfRule>
  </conditionalFormatting>
  <conditionalFormatting sqref="C8:D16 C22:C26 C32:D34">
    <cfRule type="containsText" dxfId="12" priority="2" operator="containsText" text="X">
      <formula>NOT(ISERROR(SEARCH(("X"),(C8))))</formula>
    </cfRule>
  </conditionalFormatting>
  <conditionalFormatting sqref="C8:D16 C22:C26 C32:D34">
    <cfRule type="containsText" dxfId="13" priority="3" operator="containsText" text="X">
      <formula>NOT(ISERROR(SEARCH(("X"),(C8))))</formula>
    </cfRule>
  </conditionalFormatting>
  <conditionalFormatting sqref="C8:D16 C22:C26 C32:D34">
    <cfRule type="containsText" dxfId="14" priority="4" operator="containsText" text="X">
      <formula>NOT(ISERROR(SEARCH(("X"),(C8))))</formula>
    </cfRule>
  </conditionalFormatting>
  <conditionalFormatting sqref="C8:D16 C22:C26 C32:D34">
    <cfRule type="containsText" dxfId="15" priority="5" operator="containsText" text="X">
      <formula>NOT(ISERROR(SEARCH(("X"),(C8))))</formula>
    </cfRule>
  </conditionalFormatting>
  <conditionalFormatting sqref="C22:D26">
    <cfRule type="containsText" dxfId="12" priority="6" operator="containsText" text="X">
      <formula>NOT(ISERROR(SEARCH(("X"),(C22))))</formula>
    </cfRule>
  </conditionalFormatting>
  <conditionalFormatting sqref="C22:D26">
    <cfRule type="containsText" dxfId="13" priority="7" operator="containsText" text="X">
      <formula>NOT(ISERROR(SEARCH(("X"),(C22))))</formula>
    </cfRule>
  </conditionalFormatting>
  <conditionalFormatting sqref="C32:D34">
    <cfRule type="containsText" dxfId="12" priority="8" operator="containsText" text="X">
      <formula>NOT(ISERROR(SEARCH(("X"),(C32))))</formula>
    </cfRule>
  </conditionalFormatting>
  <printOptions/>
  <pageMargins bottom="0.75" footer="0.0" header="0.0" left="0.7" right="0.7" top="0.75"/>
  <pageSetup paperSize="9" orientation="portrait"/>
  <drawing r:id="rId2"/>
  <legacyDrawing r:id="rId3"/>
  <tableParts count="3">
    <tablePart r:id="rId7"/>
    <tablePart r:id="rId8"/>
    <tablePart r:id="rId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50.0"/>
    <col customWidth="1" min="3" max="3" width="16.14"/>
    <col customWidth="1" min="4" max="24" width="10.71"/>
  </cols>
  <sheetData>
    <row r="1" ht="51.0" customHeight="1">
      <c r="A1" s="28"/>
      <c r="B1" s="29" t="s">
        <v>1</v>
      </c>
      <c r="C1" s="30" t="s">
        <v>2</v>
      </c>
      <c r="E1" s="28"/>
      <c r="F1" s="28"/>
      <c r="G1" s="28"/>
      <c r="H1" s="28"/>
      <c r="I1" s="28"/>
      <c r="J1" s="28"/>
      <c r="K1" s="28"/>
      <c r="L1" s="28"/>
      <c r="M1" s="28"/>
      <c r="N1" s="28"/>
      <c r="O1" s="28"/>
      <c r="P1" s="28"/>
      <c r="Q1" s="28"/>
      <c r="R1" s="28"/>
      <c r="S1" s="28"/>
      <c r="T1" s="28"/>
      <c r="U1" s="28"/>
      <c r="V1" s="28"/>
      <c r="W1" s="28"/>
      <c r="X1" s="28"/>
      <c r="Y1" s="28"/>
      <c r="Z1" s="28"/>
    </row>
    <row r="2" ht="29.25" customHeight="1">
      <c r="B2" s="31" t="s">
        <v>42</v>
      </c>
      <c r="C2" s="32">
        <v>46296.0</v>
      </c>
    </row>
    <row r="3" ht="23.25" customHeight="1">
      <c r="B3" s="31" t="s">
        <v>43</v>
      </c>
      <c r="C3" s="33" t="s">
        <v>45</v>
      </c>
    </row>
    <row r="4" ht="21.0" customHeight="1">
      <c r="B4" s="31" t="s">
        <v>46</v>
      </c>
      <c r="C4" s="33" t="s">
        <v>8</v>
      </c>
    </row>
    <row r="5" ht="14.25" customHeight="1"/>
    <row r="6" ht="42.0" customHeight="1">
      <c r="A6" s="34" t="s">
        <v>49</v>
      </c>
    </row>
    <row r="7" ht="15.0" customHeight="1">
      <c r="A7" s="35" t="s">
        <v>51</v>
      </c>
      <c r="B7" s="36" t="s">
        <v>52</v>
      </c>
      <c r="C7" s="36" t="s">
        <v>53</v>
      </c>
      <c r="D7" s="37" t="s">
        <v>54</v>
      </c>
    </row>
    <row r="8" ht="14.25" customHeight="1">
      <c r="A8" s="38">
        <v>1.0</v>
      </c>
      <c r="B8" s="39" t="s">
        <v>55</v>
      </c>
      <c r="C8" s="40" t="s">
        <v>56</v>
      </c>
      <c r="D8" s="41"/>
    </row>
    <row r="9" ht="14.25" customHeight="1">
      <c r="A9" s="38">
        <v>2.0</v>
      </c>
      <c r="B9" s="39" t="s">
        <v>57</v>
      </c>
      <c r="C9" s="40" t="s">
        <v>56</v>
      </c>
      <c r="D9" s="41"/>
    </row>
    <row r="10" ht="14.25" customHeight="1">
      <c r="A10" s="38">
        <v>3.0</v>
      </c>
      <c r="B10" s="39" t="s">
        <v>58</v>
      </c>
      <c r="C10" s="40" t="s">
        <v>56</v>
      </c>
      <c r="D10" s="41"/>
    </row>
    <row r="11" ht="14.25" customHeight="1">
      <c r="A11" s="38">
        <v>4.0</v>
      </c>
      <c r="B11" s="39" t="s">
        <v>59</v>
      </c>
      <c r="C11" s="40" t="s">
        <v>56</v>
      </c>
      <c r="D11" s="41"/>
    </row>
    <row r="12" ht="14.25" customHeight="1">
      <c r="A12" s="38">
        <v>5.0</v>
      </c>
      <c r="B12" s="39" t="s">
        <v>60</v>
      </c>
      <c r="C12" s="40" t="s">
        <v>56</v>
      </c>
      <c r="D12" s="41"/>
    </row>
    <row r="13" ht="14.25" customHeight="1">
      <c r="A13" s="38">
        <v>6.0</v>
      </c>
      <c r="B13" s="39" t="s">
        <v>61</v>
      </c>
      <c r="C13" s="40" t="s">
        <v>56</v>
      </c>
      <c r="D13" s="41"/>
    </row>
    <row r="14" ht="14.25" customHeight="1">
      <c r="A14" s="38">
        <v>7.0</v>
      </c>
      <c r="B14" s="39" t="s">
        <v>62</v>
      </c>
      <c r="C14" s="40"/>
      <c r="D14" s="40" t="s">
        <v>56</v>
      </c>
    </row>
    <row r="15">
      <c r="A15" s="38">
        <v>8.0</v>
      </c>
      <c r="B15" s="39" t="s">
        <v>63</v>
      </c>
      <c r="C15" s="40" t="s">
        <v>56</v>
      </c>
      <c r="D15" s="41"/>
    </row>
    <row r="16" ht="28.5" customHeight="1">
      <c r="A16" s="42">
        <v>9.0</v>
      </c>
      <c r="B16" s="43" t="s">
        <v>64</v>
      </c>
      <c r="C16" s="44"/>
      <c r="D16" s="44" t="s">
        <v>56</v>
      </c>
    </row>
    <row r="17" ht="14.25" customHeight="1">
      <c r="A17" s="45" t="s">
        <v>65</v>
      </c>
      <c r="C17" s="46">
        <f>COUNTA('MODELO DE LISTA DE COMPROBACION'!$C$8:$C$16)</f>
        <v>7</v>
      </c>
      <c r="D17" s="46">
        <f>COUNTA('MODELO DE LISTA DE COMPROBACION'!$D$8:$D$16)</f>
        <v>2</v>
      </c>
    </row>
    <row r="18" ht="14.25" customHeight="1">
      <c r="A18" s="45" t="s">
        <v>66</v>
      </c>
      <c r="C18" s="47">
        <f t="shared" ref="C18:D18" si="1">C17/9</f>
        <v>0.7777777778</v>
      </c>
      <c r="D18" s="47">
        <f t="shared" si="1"/>
        <v>0.2222222222</v>
      </c>
    </row>
    <row r="19" ht="14.25" customHeight="1">
      <c r="A19" s="45"/>
      <c r="B19" s="45"/>
      <c r="C19" s="47"/>
      <c r="D19" s="46"/>
    </row>
    <row r="20" ht="55.5" customHeight="1">
      <c r="A20" s="48" t="s">
        <v>67</v>
      </c>
      <c r="B20" s="49"/>
      <c r="C20" s="49"/>
      <c r="D20" s="49"/>
    </row>
    <row r="21" ht="14.25" customHeight="1">
      <c r="A21" s="50" t="s">
        <v>51</v>
      </c>
      <c r="B21" s="51" t="s">
        <v>52</v>
      </c>
      <c r="C21" s="52" t="s">
        <v>53</v>
      </c>
      <c r="D21" s="53" t="s">
        <v>54</v>
      </c>
    </row>
    <row r="22" ht="14.25" customHeight="1">
      <c r="A22" s="38">
        <v>1.0</v>
      </c>
      <c r="B22" s="39" t="s">
        <v>68</v>
      </c>
      <c r="C22" s="44" t="s">
        <v>56</v>
      </c>
      <c r="D22" s="41"/>
    </row>
    <row r="23" ht="14.25" customHeight="1">
      <c r="A23" s="38">
        <v>2.0</v>
      </c>
      <c r="B23" s="39" t="s">
        <v>69</v>
      </c>
      <c r="C23" s="44" t="s">
        <v>56</v>
      </c>
      <c r="D23" s="41"/>
    </row>
    <row r="24" ht="14.25" customHeight="1">
      <c r="A24" s="38">
        <v>3.0</v>
      </c>
      <c r="B24" s="39" t="s">
        <v>70</v>
      </c>
      <c r="C24" s="44" t="s">
        <v>56</v>
      </c>
    </row>
    <row r="25" ht="14.25" customHeight="1">
      <c r="A25" s="38">
        <v>4.0</v>
      </c>
      <c r="B25" s="39" t="s">
        <v>71</v>
      </c>
      <c r="C25" s="44" t="s">
        <v>56</v>
      </c>
      <c r="D25" s="41"/>
    </row>
    <row r="26" ht="14.25" customHeight="1">
      <c r="A26" s="42">
        <v>5.0</v>
      </c>
      <c r="B26" s="43" t="s">
        <v>72</v>
      </c>
      <c r="C26" s="44" t="s">
        <v>56</v>
      </c>
      <c r="D26" s="54"/>
    </row>
    <row r="27" ht="32.25" customHeight="1">
      <c r="A27" s="45" t="s">
        <v>65</v>
      </c>
      <c r="C27" s="46">
        <f>COUNTA('MODELO DE LISTA DE COMPROBACION'!$C$22:$C$26)</f>
        <v>5</v>
      </c>
      <c r="D27" s="46">
        <f>COUNTA('MODELO DE LISTA DE COMPROBACION'!$D$22:$D$26)</f>
        <v>0</v>
      </c>
    </row>
    <row r="28" ht="14.25" customHeight="1">
      <c r="A28" s="45" t="s">
        <v>66</v>
      </c>
      <c r="C28" s="47">
        <f t="shared" ref="C28:D28" si="2">C27/5</f>
        <v>1</v>
      </c>
      <c r="D28" s="47">
        <f t="shared" si="2"/>
        <v>0</v>
      </c>
    </row>
    <row r="29" ht="14.25" customHeight="1">
      <c r="A29" s="45"/>
      <c r="B29" s="45"/>
      <c r="C29" s="47"/>
      <c r="D29" s="46"/>
    </row>
    <row r="30" ht="48.75" customHeight="1">
      <c r="A30" s="34" t="s">
        <v>73</v>
      </c>
    </row>
    <row r="31" ht="14.25" customHeight="1">
      <c r="A31" s="50" t="s">
        <v>51</v>
      </c>
      <c r="B31" s="51" t="s">
        <v>52</v>
      </c>
      <c r="C31" s="52" t="s">
        <v>53</v>
      </c>
      <c r="D31" s="53" t="s">
        <v>54</v>
      </c>
    </row>
    <row r="32" ht="14.25" customHeight="1">
      <c r="A32" s="38">
        <v>1.0</v>
      </c>
      <c r="B32" s="39" t="s">
        <v>74</v>
      </c>
      <c r="D32" s="44" t="s">
        <v>56</v>
      </c>
    </row>
    <row r="33" ht="14.25" customHeight="1">
      <c r="A33" s="38">
        <v>2.0</v>
      </c>
      <c r="B33" s="39" t="s">
        <v>75</v>
      </c>
      <c r="C33" s="44"/>
      <c r="D33" s="44" t="s">
        <v>56</v>
      </c>
    </row>
    <row r="34" ht="14.25" customHeight="1">
      <c r="A34" s="42">
        <v>3.0</v>
      </c>
      <c r="B34" s="43" t="s">
        <v>76</v>
      </c>
      <c r="C34" s="44" t="s">
        <v>56</v>
      </c>
      <c r="D34" s="44"/>
    </row>
    <row r="35" ht="14.25" customHeight="1">
      <c r="A35" s="45" t="s">
        <v>65</v>
      </c>
      <c r="C35" s="21">
        <f>COUNTA('MODELO DE LISTA DE COMPROBACION'!$C$32:$C$34)</f>
        <v>1</v>
      </c>
      <c r="D35" s="21">
        <f>COUNTA('MODELO DE LISTA DE COMPROBACION'!$D$32:$D$34)</f>
        <v>2</v>
      </c>
    </row>
    <row r="36" ht="14.25" customHeight="1">
      <c r="A36" s="45" t="s">
        <v>66</v>
      </c>
      <c r="C36" s="47">
        <f t="shared" ref="C36:D36" si="3">C35/3</f>
        <v>0.3333333333</v>
      </c>
      <c r="D36" s="47">
        <f t="shared" si="3"/>
        <v>0.6666666667</v>
      </c>
    </row>
    <row r="37" ht="14.25" customHeight="1"/>
    <row r="38" ht="14.25" customHeight="1"/>
    <row r="39" ht="14.25" customHeight="1"/>
    <row r="40" ht="14.25" customHeight="1">
      <c r="A40" s="55" t="s">
        <v>77</v>
      </c>
    </row>
    <row r="41" ht="30.0" customHeight="1">
      <c r="B41" s="28" t="s">
        <v>78</v>
      </c>
      <c r="C41" s="46">
        <v>78.0</v>
      </c>
    </row>
    <row r="42" ht="30.0" customHeight="1">
      <c r="B42" s="28" t="s">
        <v>67</v>
      </c>
      <c r="C42" s="46">
        <v>100.0</v>
      </c>
    </row>
    <row r="43" ht="30.0" customHeight="1">
      <c r="B43" s="28" t="s">
        <v>73</v>
      </c>
      <c r="C43" s="46">
        <v>33.0</v>
      </c>
    </row>
    <row r="44" ht="14.25" customHeight="1">
      <c r="C44" s="46"/>
    </row>
    <row r="45" ht="14.25" customHeight="1">
      <c r="C45" s="46"/>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11" priority="1" operator="containsText" text="X">
      <formula>NOT(ISERROR(SEARCH(("X"),(A32))))</formula>
    </cfRule>
  </conditionalFormatting>
  <conditionalFormatting sqref="C8:D16 C22:C26 C33:C34 D32:D34">
    <cfRule type="containsText" dxfId="12" priority="2" operator="containsText" text="X">
      <formula>NOT(ISERROR(SEARCH(("X"),(C8))))</formula>
    </cfRule>
  </conditionalFormatting>
  <conditionalFormatting sqref="C8:D16 C22:C26 C33:C34 D32:D34">
    <cfRule type="containsText" dxfId="13" priority="3" operator="containsText" text="X">
      <formula>NOT(ISERROR(SEARCH(("X"),(C8))))</formula>
    </cfRule>
  </conditionalFormatting>
  <conditionalFormatting sqref="C8:D16 C22:C26 C33:C34 D32:D34">
    <cfRule type="containsText" dxfId="14" priority="4" operator="containsText" text="X">
      <formula>NOT(ISERROR(SEARCH(("X"),(C8))))</formula>
    </cfRule>
  </conditionalFormatting>
  <conditionalFormatting sqref="C8:D16 C22:C26 C33:C34 D32:D34">
    <cfRule type="containsText" dxfId="15" priority="5" operator="containsText" text="X">
      <formula>NOT(ISERROR(SEARCH(("X"),(C8))))</formula>
    </cfRule>
  </conditionalFormatting>
  <conditionalFormatting sqref="C22:D26">
    <cfRule type="containsText" dxfId="12" priority="6" operator="containsText" text="X">
      <formula>NOT(ISERROR(SEARCH(("X"),(C22))))</formula>
    </cfRule>
  </conditionalFormatting>
  <conditionalFormatting sqref="C22:D26">
    <cfRule type="containsText" dxfId="13" priority="7" operator="containsText" text="X">
      <formula>NOT(ISERROR(SEARCH(("X"),(C22))))</formula>
    </cfRule>
  </conditionalFormatting>
  <conditionalFormatting sqref="C32:D34">
    <cfRule type="containsText" dxfId="12" priority="8" operator="containsText" text="X">
      <formula>NOT(ISERROR(SEARCH(("X"),(C32))))</formula>
    </cfRule>
  </conditionalFormatting>
  <printOptions/>
  <pageMargins bottom="0.75" footer="0.0" header="0.0" left="0.7" right="0.7" top="0.75"/>
  <pageSetup paperSize="9" orientation="portrait"/>
  <drawing r:id="rId2"/>
  <legacyDrawing r:id="rId3"/>
  <tableParts count="3">
    <tablePart r:id="rId7"/>
    <tablePart r:id="rId8"/>
    <tablePart r:id="rId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9.86"/>
    <col customWidth="1" min="3" max="3" width="43.29"/>
    <col customWidth="1" min="4" max="24" width="10.71"/>
  </cols>
  <sheetData>
    <row r="1" ht="51.0" customHeight="1">
      <c r="A1" s="28"/>
      <c r="B1" s="29" t="s">
        <v>1</v>
      </c>
      <c r="C1" s="30" t="s">
        <v>2</v>
      </c>
      <c r="E1" s="28"/>
      <c r="F1" s="28"/>
      <c r="G1" s="28"/>
      <c r="H1" s="28"/>
      <c r="I1" s="28"/>
      <c r="J1" s="28"/>
      <c r="K1" s="28"/>
      <c r="L1" s="28"/>
      <c r="M1" s="28"/>
      <c r="N1" s="28"/>
      <c r="O1" s="28"/>
      <c r="P1" s="28"/>
      <c r="Q1" s="28"/>
      <c r="R1" s="28"/>
      <c r="S1" s="28"/>
      <c r="T1" s="28"/>
      <c r="U1" s="28"/>
      <c r="V1" s="28"/>
      <c r="W1" s="28"/>
      <c r="X1" s="28"/>
      <c r="Y1" s="28"/>
      <c r="Z1" s="28"/>
    </row>
    <row r="2" ht="14.25" customHeight="1">
      <c r="B2" s="31" t="s">
        <v>42</v>
      </c>
      <c r="C2" s="32">
        <v>46296.0</v>
      </c>
    </row>
    <row r="3" ht="18.75" customHeight="1">
      <c r="B3" s="31" t="s">
        <v>43</v>
      </c>
      <c r="C3" s="33" t="s">
        <v>44</v>
      </c>
    </row>
    <row r="4" ht="29.25" customHeight="1">
      <c r="B4" s="31" t="s">
        <v>46</v>
      </c>
      <c r="C4" s="33" t="s">
        <v>47</v>
      </c>
    </row>
    <row r="5" ht="14.25" customHeight="1"/>
    <row r="6" ht="21.0" customHeight="1">
      <c r="A6" s="34" t="s">
        <v>49</v>
      </c>
    </row>
    <row r="7" ht="24.0" customHeight="1">
      <c r="A7" s="35" t="s">
        <v>51</v>
      </c>
      <c r="B7" s="36" t="s">
        <v>52</v>
      </c>
      <c r="C7" s="36" t="s">
        <v>53</v>
      </c>
      <c r="D7" s="37" t="s">
        <v>54</v>
      </c>
    </row>
    <row r="8" ht="17.25" customHeight="1">
      <c r="A8" s="38">
        <v>1.0</v>
      </c>
      <c r="B8" s="39" t="s">
        <v>55</v>
      </c>
      <c r="C8" s="40" t="s">
        <v>56</v>
      </c>
      <c r="D8" s="41"/>
    </row>
    <row r="9" ht="14.25" customHeight="1">
      <c r="A9" s="38">
        <v>2.0</v>
      </c>
      <c r="B9" s="39" t="s">
        <v>57</v>
      </c>
      <c r="C9" s="40" t="s">
        <v>56</v>
      </c>
      <c r="D9" s="41"/>
    </row>
    <row r="10" ht="14.25" customHeight="1">
      <c r="A10" s="38">
        <v>3.0</v>
      </c>
      <c r="B10" s="39" t="s">
        <v>58</v>
      </c>
      <c r="C10" s="40" t="s">
        <v>56</v>
      </c>
      <c r="D10" s="41"/>
    </row>
    <row r="11" ht="14.25" customHeight="1">
      <c r="A11" s="38">
        <v>4.0</v>
      </c>
      <c r="B11" s="39" t="s">
        <v>59</v>
      </c>
      <c r="C11" s="40" t="s">
        <v>56</v>
      </c>
      <c r="D11" s="41"/>
    </row>
    <row r="12" ht="14.25" customHeight="1">
      <c r="A12" s="38">
        <v>5.0</v>
      </c>
      <c r="B12" s="39" t="s">
        <v>60</v>
      </c>
      <c r="C12" s="40" t="s">
        <v>56</v>
      </c>
      <c r="D12" s="41"/>
    </row>
    <row r="13" ht="14.25" customHeight="1">
      <c r="A13" s="38">
        <v>6.0</v>
      </c>
      <c r="B13" s="39" t="s">
        <v>61</v>
      </c>
      <c r="C13" s="40" t="s">
        <v>56</v>
      </c>
      <c r="D13" s="41"/>
    </row>
    <row r="14" ht="14.25" customHeight="1">
      <c r="A14" s="38">
        <v>7.0</v>
      </c>
      <c r="B14" s="39" t="s">
        <v>62</v>
      </c>
      <c r="C14" s="40"/>
      <c r="D14" s="40" t="s">
        <v>56</v>
      </c>
    </row>
    <row r="15" ht="14.25" customHeight="1">
      <c r="A15" s="38">
        <v>8.0</v>
      </c>
      <c r="B15" s="39" t="s">
        <v>63</v>
      </c>
      <c r="C15" s="40" t="s">
        <v>56</v>
      </c>
      <c r="D15" s="41"/>
    </row>
    <row r="16" ht="14.25" customHeight="1">
      <c r="A16" s="42">
        <v>9.0</v>
      </c>
      <c r="B16" s="43" t="s">
        <v>64</v>
      </c>
      <c r="C16" s="44"/>
      <c r="D16" s="44" t="s">
        <v>56</v>
      </c>
    </row>
    <row r="17" ht="14.25" customHeight="1">
      <c r="A17" s="45" t="s">
        <v>65</v>
      </c>
      <c r="C17" s="46">
        <f>COUNTA('Hoja 1'!$C$8:$C$16)</f>
        <v>7</v>
      </c>
      <c r="D17" s="46">
        <f>COUNTA('Hoja 1'!$D$8:$D$16)</f>
        <v>2</v>
      </c>
    </row>
    <row r="18" ht="14.25" customHeight="1">
      <c r="A18" s="45" t="s">
        <v>66</v>
      </c>
      <c r="C18" s="47">
        <f t="shared" ref="C18:D18" si="1">C17/9</f>
        <v>0.7777777778</v>
      </c>
      <c r="D18" s="47">
        <f t="shared" si="1"/>
        <v>0.2222222222</v>
      </c>
    </row>
    <row r="19" ht="14.25" customHeight="1">
      <c r="A19" s="45"/>
      <c r="B19" s="45"/>
      <c r="C19" s="47"/>
      <c r="D19" s="46"/>
    </row>
    <row r="20" ht="14.25" customHeight="1">
      <c r="A20" s="48" t="s">
        <v>67</v>
      </c>
      <c r="B20" s="49"/>
      <c r="C20" s="49"/>
      <c r="D20" s="49"/>
    </row>
    <row r="21" ht="14.25" customHeight="1">
      <c r="A21" s="50" t="s">
        <v>51</v>
      </c>
      <c r="B21" s="51" t="s">
        <v>52</v>
      </c>
      <c r="C21" s="52" t="s">
        <v>53</v>
      </c>
      <c r="D21" s="53" t="s">
        <v>54</v>
      </c>
    </row>
    <row r="22" ht="14.25" customHeight="1">
      <c r="A22" s="38">
        <v>1.0</v>
      </c>
      <c r="B22" s="39" t="s">
        <v>68</v>
      </c>
      <c r="C22" s="44" t="s">
        <v>56</v>
      </c>
      <c r="D22" s="41"/>
    </row>
    <row r="23" ht="14.25" customHeight="1">
      <c r="A23" s="38">
        <v>2.0</v>
      </c>
      <c r="B23" s="39" t="s">
        <v>69</v>
      </c>
      <c r="C23" s="44" t="s">
        <v>56</v>
      </c>
      <c r="D23" s="41"/>
    </row>
    <row r="24" ht="14.25" customHeight="1">
      <c r="A24" s="38">
        <v>3.0</v>
      </c>
      <c r="B24" s="39" t="s">
        <v>70</v>
      </c>
      <c r="C24" s="44" t="s">
        <v>56</v>
      </c>
      <c r="D24" s="41"/>
    </row>
    <row r="25" ht="14.25" customHeight="1">
      <c r="A25" s="38">
        <v>4.0</v>
      </c>
      <c r="B25" s="39" t="s">
        <v>71</v>
      </c>
      <c r="C25" s="44" t="s">
        <v>56</v>
      </c>
      <c r="D25" s="41"/>
    </row>
    <row r="26" ht="14.25" customHeight="1">
      <c r="A26" s="42">
        <v>5.0</v>
      </c>
      <c r="B26" s="43" t="s">
        <v>72</v>
      </c>
      <c r="C26" s="44" t="s">
        <v>56</v>
      </c>
      <c r="D26" s="54"/>
    </row>
    <row r="27" ht="14.25" customHeight="1">
      <c r="A27" s="45" t="s">
        <v>65</v>
      </c>
      <c r="C27" s="46">
        <f>COUNTA('Hoja 1'!$C$22:$C$26)</f>
        <v>5</v>
      </c>
      <c r="D27" s="46">
        <f>COUNTA('Hoja 1'!$D$22:$D$26)</f>
        <v>0</v>
      </c>
    </row>
    <row r="28" ht="14.25" customHeight="1">
      <c r="A28" s="45" t="s">
        <v>66</v>
      </c>
      <c r="C28" s="47">
        <f t="shared" ref="C28:D28" si="2">C27/5</f>
        <v>1</v>
      </c>
      <c r="D28" s="47">
        <f t="shared" si="2"/>
        <v>0</v>
      </c>
    </row>
    <row r="29" ht="14.25" customHeight="1">
      <c r="A29" s="45"/>
      <c r="B29" s="45"/>
      <c r="C29" s="47"/>
      <c r="D29" s="46"/>
    </row>
    <row r="30" ht="14.25" customHeight="1">
      <c r="A30" s="34" t="s">
        <v>73</v>
      </c>
    </row>
    <row r="31" ht="14.25" customHeight="1">
      <c r="A31" s="50" t="s">
        <v>51</v>
      </c>
      <c r="B31" s="51" t="s">
        <v>52</v>
      </c>
      <c r="C31" s="52" t="s">
        <v>53</v>
      </c>
      <c r="D31" s="53" t="s">
        <v>54</v>
      </c>
    </row>
    <row r="32" ht="14.25" customHeight="1">
      <c r="A32" s="38">
        <v>1.0</v>
      </c>
      <c r="B32" s="39" t="s">
        <v>74</v>
      </c>
      <c r="C32" s="44"/>
      <c r="D32" s="44" t="s">
        <v>56</v>
      </c>
    </row>
    <row r="33" ht="14.25" customHeight="1">
      <c r="A33" s="38">
        <v>2.0</v>
      </c>
      <c r="B33" s="39" t="s">
        <v>75</v>
      </c>
      <c r="C33" s="44"/>
      <c r="D33" s="44" t="s">
        <v>56</v>
      </c>
    </row>
    <row r="34" ht="14.25" customHeight="1">
      <c r="A34" s="42">
        <v>3.0</v>
      </c>
      <c r="B34" s="43" t="s">
        <v>76</v>
      </c>
      <c r="C34" s="44" t="s">
        <v>56</v>
      </c>
      <c r="D34" s="44"/>
    </row>
    <row r="35" ht="14.25" customHeight="1">
      <c r="A35" s="45" t="s">
        <v>65</v>
      </c>
      <c r="C35" s="21">
        <f>COUNTA('Hoja 1'!$C$32:$C$34)</f>
        <v>1</v>
      </c>
      <c r="D35" s="21">
        <f>COUNTA('Hoja 1'!$D$32:$D$34)</f>
        <v>2</v>
      </c>
    </row>
    <row r="36" ht="14.25" customHeight="1">
      <c r="A36" s="45" t="s">
        <v>66</v>
      </c>
      <c r="C36" s="47">
        <f t="shared" ref="C36:D36" si="3">C35/3</f>
        <v>0.3333333333</v>
      </c>
      <c r="D36" s="47">
        <f t="shared" si="3"/>
        <v>0.6666666667</v>
      </c>
    </row>
    <row r="37" ht="14.25" customHeight="1"/>
    <row r="38" ht="14.25" customHeight="1"/>
    <row r="39" ht="14.25" customHeight="1"/>
    <row r="40" ht="14.25" customHeight="1">
      <c r="A40" s="55" t="s">
        <v>77</v>
      </c>
    </row>
    <row r="41" ht="30.0" customHeight="1">
      <c r="B41" s="28" t="s">
        <v>78</v>
      </c>
      <c r="C41" s="46">
        <v>78.0</v>
      </c>
    </row>
    <row r="42" ht="30.0" customHeight="1">
      <c r="B42" s="28" t="s">
        <v>67</v>
      </c>
      <c r="C42" s="46">
        <v>100.0</v>
      </c>
    </row>
    <row r="43" ht="30.0" customHeight="1">
      <c r="B43" s="28" t="s">
        <v>73</v>
      </c>
      <c r="C43" s="46">
        <v>33.0</v>
      </c>
    </row>
    <row r="44" ht="14.25" customHeight="1">
      <c r="C44" s="46"/>
    </row>
    <row r="45" ht="14.25" customHeight="1">
      <c r="C45" s="46"/>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11" priority="1" operator="containsText" text="X">
      <formula>NOT(ISERROR(SEARCH(("X"),(A32))))</formula>
    </cfRule>
  </conditionalFormatting>
  <conditionalFormatting sqref="C8:D16 C22:C26 C32:D34">
    <cfRule type="containsText" dxfId="12" priority="2" operator="containsText" text="X">
      <formula>NOT(ISERROR(SEARCH(("X"),(C8))))</formula>
    </cfRule>
  </conditionalFormatting>
  <conditionalFormatting sqref="C8:D16 C22:C26 C32:D34">
    <cfRule type="containsText" dxfId="13" priority="3" operator="containsText" text="X">
      <formula>NOT(ISERROR(SEARCH(("X"),(C8))))</formula>
    </cfRule>
  </conditionalFormatting>
  <conditionalFormatting sqref="C8:D16 C22:C26 C32:D34">
    <cfRule type="containsText" dxfId="14" priority="4" operator="containsText" text="X">
      <formula>NOT(ISERROR(SEARCH(("X"),(C8))))</formula>
    </cfRule>
  </conditionalFormatting>
  <conditionalFormatting sqref="C8:D16 C22:C26 C32:D34">
    <cfRule type="containsText" dxfId="15" priority="5" operator="containsText" text="X">
      <formula>NOT(ISERROR(SEARCH(("X"),(C8))))</formula>
    </cfRule>
  </conditionalFormatting>
  <conditionalFormatting sqref="C22:D26">
    <cfRule type="containsText" dxfId="12" priority="6" operator="containsText" text="X">
      <formula>NOT(ISERROR(SEARCH(("X"),(C22))))</formula>
    </cfRule>
  </conditionalFormatting>
  <conditionalFormatting sqref="C22:D26">
    <cfRule type="containsText" dxfId="13" priority="7" operator="containsText" text="X">
      <formula>NOT(ISERROR(SEARCH(("X"),(C22))))</formula>
    </cfRule>
  </conditionalFormatting>
  <conditionalFormatting sqref="C32:D34">
    <cfRule type="containsText" dxfId="12" priority="8" operator="containsText" text="X">
      <formula>NOT(ISERROR(SEARCH(("X"),(C32))))</formula>
    </cfRule>
  </conditionalFormatting>
  <printOptions/>
  <pageMargins bottom="0.75" footer="0.0" header="0.0" left="0.7" right="0.7" top="0.75"/>
  <pageSetup paperSize="9" orientation="portrait"/>
  <drawing r:id="rId2"/>
  <legacyDrawing r:id="rId3"/>
  <tableParts count="3">
    <tablePart r:id="rId7"/>
    <tablePart r:id="rId8"/>
    <tablePart r:id="rId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14"/>
    <col customWidth="1" min="2" max="2" width="57.29"/>
    <col customWidth="1" min="3" max="6" width="10.71"/>
  </cols>
  <sheetData>
    <row r="1" ht="14.25" customHeight="1">
      <c r="A1" s="56" t="s">
        <v>79</v>
      </c>
      <c r="B1" s="56" t="s">
        <v>80</v>
      </c>
    </row>
    <row r="2">
      <c r="A2" s="57" t="s">
        <v>81</v>
      </c>
      <c r="B2" s="58" t="s">
        <v>82</v>
      </c>
    </row>
    <row r="3">
      <c r="A3" s="57" t="s">
        <v>83</v>
      </c>
      <c r="B3" s="58" t="s">
        <v>84</v>
      </c>
    </row>
    <row r="4" ht="56.25" customHeight="1">
      <c r="A4" s="13" t="s">
        <v>85</v>
      </c>
      <c r="B4" s="58" t="s">
        <v>86</v>
      </c>
    </row>
    <row r="5">
      <c r="A5" s="59" t="s">
        <v>87</v>
      </c>
      <c r="B5" s="58" t="s">
        <v>88</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57"/>
    <col customWidth="1" min="2" max="2" width="57.29"/>
    <col customWidth="1" min="3" max="6" width="10.71"/>
  </cols>
  <sheetData>
    <row r="1" ht="14.25" customHeight="1">
      <c r="A1" s="56" t="s">
        <v>79</v>
      </c>
      <c r="B1" s="56" t="s">
        <v>80</v>
      </c>
    </row>
    <row r="2">
      <c r="A2" s="57" t="s">
        <v>81</v>
      </c>
      <c r="B2" s="61" t="s">
        <v>91</v>
      </c>
    </row>
    <row r="3">
      <c r="A3" s="57" t="s">
        <v>83</v>
      </c>
      <c r="B3" s="62" t="s">
        <v>94</v>
      </c>
    </row>
    <row r="4">
      <c r="A4" s="13" t="s">
        <v>85</v>
      </c>
      <c r="B4" s="62" t="s">
        <v>96</v>
      </c>
    </row>
    <row r="5">
      <c r="A5" s="59" t="s">
        <v>87</v>
      </c>
      <c r="B5" s="64" t="s">
        <v>98</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4.14"/>
    <col customWidth="1" min="2" max="2" width="57.29"/>
    <col customWidth="1" min="3" max="6" width="10.71"/>
  </cols>
  <sheetData>
    <row r="1" ht="14.25" customHeight="1">
      <c r="A1" s="56" t="s">
        <v>79</v>
      </c>
      <c r="B1" s="56" t="s">
        <v>80</v>
      </c>
    </row>
    <row r="2">
      <c r="A2" s="60" t="s">
        <v>89</v>
      </c>
      <c r="B2" s="61" t="s">
        <v>90</v>
      </c>
    </row>
    <row r="3">
      <c r="A3" s="60" t="s">
        <v>92</v>
      </c>
      <c r="B3" s="62" t="s">
        <v>93</v>
      </c>
    </row>
    <row r="4">
      <c r="A4" s="63" t="s">
        <v>95</v>
      </c>
      <c r="B4" s="64" t="s">
        <v>97</v>
      </c>
    </row>
    <row r="5">
      <c r="A5" s="65" t="s">
        <v>99</v>
      </c>
      <c r="B5" s="64" t="s">
        <v>100</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