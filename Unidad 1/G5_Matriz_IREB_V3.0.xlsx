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4"/>
    <sheet state="visible" name="LISTA DE COMPROBACION -CU 0-0" sheetId="2" r:id="rId5"/>
    <sheet state="visible" name="LISTA DE COMPROBACION -CU 0-1" sheetId="3" r:id="rId6"/>
    <sheet state="visible" name="LISTA DE COMPROBACION -CU 0-2" sheetId="4" r:id="rId7"/>
    <sheet state="visible" name="LISTA DE COMPROBACION -CU 0-3" sheetId="5" r:id="rId8"/>
    <sheet state="visible" name="LISTA DE COMPROBACION -CU 0-4" sheetId="6" r:id="rId9"/>
    <sheet state="visible" name="LISTA DE COMPROBACION -CU 0-5" sheetId="7" r:id="rId10"/>
    <sheet state="visible" name="LISTA DE COMPROBACION -CU 0-6" sheetId="8" r:id="rId11"/>
    <sheet state="visible" name="LISTA DE COMPROBACION -CU 0-7" sheetId="9" r:id="rId12"/>
    <sheet state="visible" name="RECOMENDACIONES - CU 0-0" sheetId="10" r:id="rId13"/>
    <sheet state="visible" name="RECOMENDACIONES - CU 0-1" sheetId="11" r:id="rId14"/>
    <sheet state="visible" name="RECOMENDACIONES - CU 0-2" sheetId="12" r:id="rId15"/>
    <sheet state="visible" name="RECOMENDACIONES - CU 0-3" sheetId="13" r:id="rId16"/>
    <sheet state="visible" name="RECOMENDACIONES - CU 0-4" sheetId="14" r:id="rId17"/>
    <sheet state="visible" name="RECOMENDACIONES - CU 0-5" sheetId="15" r:id="rId18"/>
    <sheet state="visible" name="RECOMENDACIONES - CU 0-6" sheetId="16" r:id="rId19"/>
    <sheet state="visible" name="RECOMENDACIONES - CU 0-7" sheetId="17" r:id="rId20"/>
  </sheets>
  <definedNames/>
  <calcPr/>
  <extLst>
    <ext uri="GoogleSheetsCustomDataVersion2">
      <go:sheetsCustomData xmlns:go="http://customooxmlschemas.google.com/" r:id="rId21" roundtripDataChecksum="xjHyV5skYdHDLAlJaC8+NlwMKSghpoKK4D/8OGVqJm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======
ID#AAACHxgG9CE
jeny ruiz    (2026-10-01 14:49:28)
Es importante ingresar el archivo plano en formato excel para el cliente y el desarrollador</t>
      </text>
    </comment>
    <comment authorId="0" ref="G7">
      <text>
        <t xml:space="preserve">======
ID#AAACHxgG9Ac
jeny ruiz    (2026-10-01 14:49:28)
Control del nivel de acuedo entre las partes Cliente y Desarrollador</t>
      </text>
    </comment>
    <comment authorId="0" ref="I7">
      <text>
        <t xml:space="preserve">======
ID#AAACHxgG9CY
jeny ruiz    (2026-10-01 14:49:28)
Se guarda en un archivo Excel los registros que dieron un problema en la actualización.</t>
      </text>
    </comment>
    <comment authorId="0" ref="K9">
      <text>
        <t xml:space="preserve">======
ID#AAACHxgG9Ao
jeny ruiz    (2026-10-01 14:49:28)
Es importante ingresar el archivo plano en formato excel para el cliente y el desarrollador</t>
      </text>
    </comment>
    <comment authorId="0" ref="J7">
      <text>
        <t xml:space="preserve">======
ID#AAACHxgG9AA
jeny ruiz    (2026-10-01 14:49:28)
Control del nivel de acuedo entre las partes Cliente y Desarrollador</t>
      </text>
    </comment>
    <comment authorId="0" ref="K7">
      <text>
        <t xml:space="preserve">======
ID#AAACHxgG9B8
jeny ruiz    (2026-10-01 14:49:28)
jeny ruiz:
Posterior a la actualización, se guardaran automáticamente el nombre de usuario, fecha, hora, registro antiguo, registro nuevo.</t>
      </text>
    </comment>
    <comment authorId="0" ref="C19">
      <text>
        <t xml:space="preserve">======
ID#AAACHxgG9AE
jeny ruiz    (2026-10-01 14:49:28)
Para todos los interesados dependiendo  de la fase del proyecto podrían estar involucrados  distintos implicados,(Glosario de tèrminos)</t>
      </text>
    </comment>
    <comment authorId="0" ref="C18">
      <text>
        <t xml:space="preserve">======
ID#AAACHxgG9Aw
jeny ruiz    (2026-10-01 14:49:28)
Trata todos los asuntos relevantes</t>
      </text>
    </comment>
    <comment authorId="0" ref="C17">
      <text>
        <t xml:space="preserve">======
ID#AAACHxgG9BE
jeny ruiz    (2026-10-01 14:49:28)
El origen del requisito y sus relaciones con otros requisitos  están claros.</t>
      </text>
    </comment>
    <comment authorId="0" ref="C16">
      <text>
        <t xml:space="preserve">======
ID#AAACHxgG9BI
jeny ruiz    (2026-10-01 14:49:28)
Puede ser implementado  y desarrollado en las condiciones actuales(tiempo, Presupuest,, orgtanizaciòn, ect)</t>
      </text>
    </comment>
    <comment authorId="0" ref="C15">
      <text>
        <t xml:space="preserve">======
ID#AAACHxgG9Bw
jeny ruiz    (2026-10-01 14:49:28)
Su cumplimiento o no cumplimiento puede der probado con un esfuerzo razonable</t>
      </text>
    </comment>
    <comment authorId="0" ref="C14">
      <text>
        <t xml:space="preserve">======
ID#AAACHxgG9CI
jeny ruiz    (2026-10-01 14:49:28)
Sin contradicciones</t>
      </text>
    </comment>
    <comment authorId="0" ref="C13">
      <text>
        <t xml:space="preserve">======
ID#AAACHxgG9Bo
jeny ruiz    (2026-10-01 14:49:28)
Refleja las espectativas  del implicado</t>
      </text>
    </comment>
    <comment authorId="0" ref="C12">
      <text>
        <t xml:space="preserve">======
ID#AAACHxgG9CQ
jeny ruiz    (2026-10-01 14:49:28)
Toda nueva información  ha sido incorporada</t>
      </text>
    </comment>
    <comment authorId="0" ref="C11">
      <text>
        <t xml:space="preserve">======
ID#AAACHxgG8_w
jeny ruiz    (2026-10-01 14:49:28)
Todos los lectores comprenden de la misma manera, sólo una interpretación</t>
      </text>
    </comment>
    <comment authorId="0" ref="C10">
      <text>
        <t xml:space="preserve">======
ID#AAACHxgG9Cc
jeny ruiz    (2026-10-01 14:49:28)
Ponderado por importancia o prioridad</t>
      </text>
    </comment>
    <comment authorId="0" ref="C9">
      <text>
        <t xml:space="preserve">======
ID#AAACHxgG9A8
jeny ruiz    (2026-10-01 14:49:28)
Todos los interesados reconocen que el  requisito es correcto y relevante</t>
      </text>
    </comment>
    <comment authorId="0" ref="F9">
      <text>
        <t xml:space="preserve">======
ID#AAACHxgG9Bc
jeny ruiz    (2026-10-01 14:49:28)
Es importante ingresar el archivo plano en formato excel para el cliente y el desarrollador</t>
      </text>
    </comment>
    <comment authorId="0" ref="E7">
      <text>
        <t xml:space="preserve">======
ID#AAACHxgG9AQ
jeny ruiz    (2026-10-01 14:49:28)
Control del nivel de acuedo entre las partes Cliente y Desarrollador</t>
      </text>
    </comment>
    <comment authorId="0" ref="F7">
      <text>
        <t xml:space="preserve">======
ID#AAACHxgG9AY
jeny ruiz    (2026-10-01 14:49:28)
La información contenida en memoria se utiliza para actualizar los campos de la base de datos.</t>
      </text>
    </comment>
  </commentList>
  <extLst>
    <ext uri="GoogleSheetsCustomDataVersion2">
      <go:sheetsCustomData xmlns:go="http://customooxmlschemas.google.com/" r:id="rId1" roundtripDataSignature="AMtx7miKhJyYqQahvfY+wnBSz2JZ6S3m9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6">
      <text>
        <t xml:space="preserve">======
ID#AAACHxgG9CM
ESPE    (2026-10-01 14:49:28)
verificable</t>
      </text>
    </comment>
    <comment authorId="0" ref="B15">
      <text>
        <t xml:space="preserve">======
ID#AAACHxgG9Ak
ESPE    (2026-10-01 14:49:28)
NECESIDAD</t>
      </text>
    </comment>
    <comment authorId="0" ref="B14">
      <text>
        <t xml:space="preserve">======
ID#AAACHxgG9Ag
ESPE    (2026-10-01 14:49:28)
CONSISTENCIA</t>
      </text>
    </comment>
    <comment authorId="0" ref="B13">
      <text>
        <t xml:space="preserve">======
ID#AAACHxgG9BA
ESPE    (2026-10-01 14:49:28)
CORRECCION</t>
      </text>
    </comment>
    <comment authorId="0" ref="B12">
      <text>
        <t xml:space="preserve">======
ID#AAACHxgG9BM
ESPE    (2026-10-01 14:49:28)
TRAZABILIDAD</t>
      </text>
    </comment>
    <comment authorId="0" ref="B11">
      <text>
        <t xml:space="preserve">======
ID#AAACHxgG9CU
ESPE    (2026-10-01 14:49:28)
trazabilidad</t>
      </text>
    </comment>
    <comment authorId="0" ref="B10">
      <text>
        <t xml:space="preserve">======
ID#AAACHxgG8_8
ESPE    (2026-10-01 14:49:28)
TRAZABILIDAD</t>
      </text>
    </comment>
    <comment authorId="0" ref="B9">
      <text>
        <t xml:space="preserve">======
ID#AAACHxgG8_4
ESPE    (2026-10-01 14:49:28)
COMPLETITUD REQUISITO INDIVIDUAL</t>
      </text>
    </comment>
    <comment authorId="0" ref="B8">
      <text>
        <t xml:space="preserve">======
ID#AAACHxgG9A0
ESPE    (2026-10-01 14:49:28)
COMPLETITUD DOCUMENTO</t>
      </text>
    </comment>
  </commentList>
  <extLst>
    <ext uri="GoogleSheetsCustomDataVersion2">
      <go:sheetsCustomData xmlns:go="http://customooxmlschemas.google.com/" r:id="rId1" roundtripDataSignature="AMtx7mhAhKaFcYHANcQfpSPQUzJwvcGPFQ=="/>
    </ext>
  </extLst>
</comments>
</file>

<file path=xl/sharedStrings.xml><?xml version="1.0" encoding="utf-8"?>
<sst xmlns="http://schemas.openxmlformats.org/spreadsheetml/2006/main" count="787" uniqueCount="101">
  <si>
    <t>INTEGRANTES:</t>
  </si>
  <si>
    <t>Laínez Suárez Ricardo Andrés, Padilla Triviño Marco Adrian, Andino Martínez Nelson David</t>
  </si>
  <si>
    <t>MATRIZ PARA COMPROBACIÓN REQUERIMIENTOS DE CALIDAD DE PROYECTO ACADEMICO</t>
  </si>
  <si>
    <t>SISTEMA:</t>
  </si>
  <si>
    <t>SISTEMA DE GESTION DE PEDIDOS DEL RESTAURANTE BOCATTO VALLEY</t>
  </si>
  <si>
    <t>Requerimientos  Funcionales</t>
  </si>
  <si>
    <t>Nº</t>
  </si>
  <si>
    <t>CRITERIOS DE CALIDAD (Documento/Requerimientos)</t>
  </si>
  <si>
    <t>Status
Nivel de Acuerdo</t>
  </si>
  <si>
    <t>CU 0-0 Autenticar en el sistema</t>
  </si>
  <si>
    <t>CU 0-1 Tomar pedido en mesa</t>
  </si>
  <si>
    <t>CU 0-2 Tomar pedido telefónico</t>
  </si>
  <si>
    <t xml:space="preserve">
CU 0-3 Realizar pedido por QR</t>
  </si>
  <si>
    <t xml:space="preserve">
CU 0-4 Gestionar preparación del pedido</t>
  </si>
  <si>
    <t xml:space="preserve">
CU 0-5 Cobrar pedido en la caja</t>
  </si>
  <si>
    <t xml:space="preserve">
CU 0-6 Consultar estado de pedido</t>
  </si>
  <si>
    <t xml:space="preserve">
CU 0-7 Administrar configuración del sistema</t>
  </si>
  <si>
    <t>Agreed</t>
  </si>
  <si>
    <t>OK</t>
  </si>
  <si>
    <t>1. Videoconferencia de la entrevista
2. Minuta de la entrevista
3. Aceptación por videoconferencia</t>
  </si>
  <si>
    <t>1. Videoconferencia de la entrevista                                                                                                                    2. Minuta de la entrevista
3. Aceptación por videoconferencia</t>
  </si>
  <si>
    <t>1. Videoconferencia de la entrevista                                                                                                                    2. Minuta de la entrevista
3. Aceptación del prototipo no funcional mediante videoconferencia</t>
  </si>
  <si>
    <t>Ranked</t>
  </si>
  <si>
    <t>1. En la descripción del caso de Uso se especifica la prioridad Alta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</si>
  <si>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</si>
  <si>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</si>
  <si>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Valid and up-to date</t>
  </si>
  <si>
    <t>1. No se han incorporado los últimos cambios pedidos luego del feedback realizado por el cliente</t>
  </si>
  <si>
    <t>1. No se han incorporado los últimos cambios tras el feedback realizado por el cliente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</si>
  <si>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</si>
  <si>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</si>
  <si>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</si>
  <si>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</si>
  <si>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 xml:space="preserve">1. Documentación basada en modelos: Diagrama de Casos de Uso
2. Usa términos definidos previamente.                                                    3. Palabras repetitivas.                                              </t>
  </si>
  <si>
    <t>Verifiable</t>
  </si>
  <si>
    <t>NOK</t>
  </si>
  <si>
    <t>1. Requisito Medible                                                           2.  Falta Casos de Prueba</t>
  </si>
  <si>
    <t>Realizable</t>
  </si>
  <si>
    <t>1. Funcionalidad tomada en cuenta dentro de la estimación del costo del proyecto (900$)
2. No se ha desarrollado</t>
  </si>
  <si>
    <t>Traceable</t>
  </si>
  <si>
    <t>1. Es claro el origen del requisito y sus relaciones con otros requisitos (matriz de trazabilidad cliente/casos de uso y casos de uso/casos de uso) 
2. Cuenta con un identificador único</t>
  </si>
  <si>
    <t>1. Es claro el origen del requisito y sus relaciones con otros requisitos (matriz de trazabilidad cliente/casos de uso y casos de uso/casos de uso)                           2. Cuenta con un identificador único</t>
  </si>
  <si>
    <t>Complete</t>
  </si>
  <si>
    <t>1. Contiene toda la información necesaria (entradas, salidas, precondiciones, postcondiciones) para entender y diseñar la función. 
2. Describe completamente la funcionalidad esperada.</t>
  </si>
  <si>
    <t>1. Contiene toda la información necesaria (entradas, salidas, precondiciones, postcondiciones) para entender y diseñar la función.                                                                              2. Describe completamente la funcionalidad esperada.</t>
  </si>
  <si>
    <t>1. Contiene toda la información necesaria (entradas, salidas, precondiciones, postcondiciones) para entender y diseñar la función.                                2. Describe completamente la funcionalidad esperada.</t>
  </si>
  <si>
    <t>Understandability</t>
  </si>
  <si>
    <t>1. Se involucra al cliente
2. Existe glosario de términos</t>
  </si>
  <si>
    <t>1. Se involucra al cliente 
2.Uso de términos respaldado por un glosario de términos</t>
  </si>
  <si>
    <t>FECHA:</t>
  </si>
  <si>
    <t>AUTOR:</t>
  </si>
  <si>
    <t>Laínez Suárez Ricardo Andrés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</si>
  <si>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</si>
  <si>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</si>
  <si>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</si>
  <si>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</si>
  <si>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</si>
  <si>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</si>
  <si>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</si>
  <si>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</si>
  <si>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</si>
  <si>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</si>
  <si>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</si>
  <si>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</si>
  <si>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</si>
  <si>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</si>
  <si>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</si>
  <si>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</si>
  <si>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</si>
  <si>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</si>
  <si>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</si>
  <si>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</si>
  <si>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</si>
  <si>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</si>
  <si>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</si>
  <si>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</si>
  <si>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</si>
  <si>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</si>
  <si>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</si>
  <si>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</si>
  <si>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</si>
  <si>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</si>
  <si>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Padilla Triviño Marco Adrian</t>
  </si>
  <si>
    <t>CU 0-3 Realizar pedido por QR</t>
  </si>
  <si>
    <t>Andino Martínez Nelson David</t>
  </si>
  <si>
    <t>CU 0-4 Gestionar preparación del pedido</t>
  </si>
  <si>
    <t>CU 0-5 Cobrar pedido en la caja</t>
  </si>
  <si>
    <t>CU 0-6 Consultar estado de pedido</t>
  </si>
  <si>
    <t>CU 0-7 Administrar configuración del sistema</t>
  </si>
  <si>
    <t>PREGUNTA</t>
  </si>
  <si>
    <t>RECOMENDACIÓN</t>
  </si>
  <si>
    <t>RESPONSABLE</t>
  </si>
  <si>
    <t>¿Existe un proceso acotado (en plazo y presupuesto) que permita determinar que el sistema construido satisface lo descrito en el propio requerimiento?</t>
  </si>
  <si>
    <t>Definir en el plan de pruebas casos para el RF-01: ingreso con credenciales válidas, rechazo de credenciales incorrectas y acceso limitado a las funciones del rol de cada usuario.</t>
  </si>
  <si>
    <t>Definir en el plan de pruebas casos para el RF-02: intento de registrar un pedido sin productos, registro en una mesa no válida y pedido confirmado con identificador único y estado “pendiente” visible en cocina.</t>
  </si>
  <si>
    <t>Definir en el plan de pruebas casos para el RF-03: pedido telefónico sin productos, pedido con datos de entrega o retiro completos y pedido registrado con estado “pendiente” visible en cocina.</t>
  </si>
  <si>
    <t>Definir en el plan de pruebas casos para el RF-04: QR no asociado a una mesa, intento de confirmar un pedido vacío y pedido confirmado con estado “pendiente” asociado a la mesa del QR.</t>
  </si>
  <si>
    <t>Definir en el plan de pruebas casos para el RF-05 que confirmen que no se puede saltar un estado (pendiente, en preparación, listo y listo para entregar) y que cada cambio queda visible para caja y cliente.</t>
  </si>
  <si>
    <t>Definir en el plan de pruebas casos para el RF-06: intento de cobrar un pedido que no está listo, cobro en efectivo, cobro digital y verificación de que el pedido queda marcado como “pagado”.</t>
  </si>
  <si>
    <t>Definir en el plan de pruebas casos para el RF-07: consulta con un QR válido, consulta con un QR no asociado a una mesa y actualización del estado mostrado al cliente cuando cocina lo cambia.</t>
  </si>
  <si>
    <t>Definir en el plan de pruebas escenarios para el RF-08 que comprueben que los cambios de precios, menú, promociones y códigos QR realizados por el administrador se reflejan de inmediato en el menú del cliente.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</si>
</sst>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theme="1"/>
      <name val="Calibri"/>
      <scheme val="minor"/>
    </font>
    <font>
      <b/>
      <sz val="18.0"/>
      <color rgb="FF1F497D"/>
      <name val="Calibri"/>
    </font>
    <font>
      <color theme="1"/>
      <name val="Calibri"/>
      <scheme val="minor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color theme="1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rgb="FFFFFFFF"/>
      <name val="Calibri"/>
    </font>
    <font>
      <sz val="11.0"/>
      <color rgb="FF0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1" fillId="2" fontId="6" numFmtId="0" xfId="0" applyAlignment="1" applyBorder="1" applyFill="1" applyFont="1">
      <alignment horizontal="center" vertical="center"/>
    </xf>
    <xf borderId="2" fillId="0" fontId="7" numFmtId="0" xfId="0" applyBorder="1" applyFont="1"/>
    <xf borderId="3" fillId="0" fontId="7" numFmtId="0" xfId="0" applyBorder="1" applyFont="1"/>
    <xf borderId="4" fillId="2" fontId="8" numFmtId="0" xfId="0" applyAlignment="1" applyBorder="1" applyFill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shrinkToFit="0" vertical="center" wrapText="1"/>
    </xf>
    <xf borderId="6" fillId="0" fontId="7" numFmtId="0" xfId="0" applyBorder="1" applyFont="1"/>
    <xf borderId="4" fillId="2" fontId="9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7" fillId="0" fontId="10" numFmtId="0" xfId="0" applyBorder="1" applyFont="1"/>
    <xf borderId="8" fillId="0" fontId="7" numFmtId="0" xfId="0" applyBorder="1" applyFont="1"/>
    <xf borderId="9" fillId="0" fontId="7" numFmtId="0" xfId="0" applyBorder="1" applyFont="1"/>
    <xf borderId="10" fillId="0" fontId="7" numFmtId="0" xfId="0" applyBorder="1" applyFont="1"/>
    <xf borderId="11" fillId="3" fontId="11" numFmtId="0" xfId="0" applyAlignment="1" applyBorder="1" applyFill="1" applyFont="1">
      <alignment horizontal="center" shrinkToFit="0" vertical="center" wrapText="1"/>
    </xf>
    <xf borderId="1" fillId="3" fontId="11" numFmtId="0" xfId="0" applyAlignment="1" applyBorder="1" applyFill="1" applyFont="1">
      <alignment horizontal="center" shrinkToFit="0" vertical="center" wrapText="1"/>
    </xf>
    <xf borderId="7" fillId="4" fontId="12" numFmtId="0" xfId="0" applyAlignment="1" applyBorder="1" applyFill="1" applyFont="1">
      <alignment horizontal="center" shrinkToFit="0" vertical="center" wrapText="1"/>
    </xf>
    <xf borderId="12" fillId="3" fontId="13" numFmtId="0" xfId="0" applyAlignment="1" applyBorder="1" applyFill="1" applyFont="1">
      <alignment horizontal="left" shrinkToFit="0" vertical="center" wrapText="1"/>
    </xf>
    <xf borderId="0" fillId="0" fontId="14" numFmtId="0" xfId="0" applyFont="1"/>
    <xf borderId="7" fillId="3" fontId="13" numFmtId="0" xfId="0" applyAlignment="1" applyBorder="1" applyFill="1" applyFont="1">
      <alignment shrinkToFit="0" vertical="center" wrapText="1"/>
    </xf>
    <xf borderId="7" fillId="3" fontId="13" numFmtId="0" xfId="0" applyAlignment="1" applyBorder="1" applyFill="1" applyFont="1">
      <alignment horizontal="left" shrinkToFit="0" vertical="center" wrapText="1"/>
    </xf>
    <xf borderId="7" fillId="5" fontId="12" numFmtId="0" xfId="0" applyAlignment="1" applyBorder="1" applyFill="1" applyFont="1">
      <alignment horizontal="center" shrinkToFit="0" vertical="center" wrapText="1"/>
    </xf>
    <xf borderId="13" fillId="3" fontId="13" numFmtId="0" xfId="0" applyAlignment="1" applyBorder="1" applyFill="1" applyFont="1">
      <alignment horizontal="left" shrinkToFit="0" vertical="center" wrapText="1"/>
    </xf>
    <xf borderId="0" fillId="0" fontId="10" numFmtId="0" xfId="0" applyAlignment="1" applyFont="1">
      <alignment vertical="top"/>
    </xf>
    <xf borderId="0" fillId="0" fontId="15" numFmtId="0" xfId="0" applyAlignment="1" applyFont="1">
      <alignment horizontal="left" vertical="top"/>
    </xf>
    <xf borderId="0" fillId="0" fontId="16" numFmtId="0" xfId="0" applyAlignment="1" applyFont="1">
      <alignment horizontal="left" shrinkToFit="0" vertical="top" wrapText="1"/>
    </xf>
    <xf borderId="0" fillId="0" fontId="15" numFmtId="0" xfId="0" applyAlignment="1" applyFont="1">
      <alignment horizontal="left"/>
    </xf>
    <xf borderId="0" fillId="0" fontId="16" numFmtId="15" xfId="0" applyAlignment="1" applyFont="1" applyNumberForma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center" vertical="center"/>
    </xf>
    <xf borderId="12" fillId="6" fontId="16" numFmtId="0" xfId="0" applyAlignment="1" applyBorder="1" applyFill="1" applyFont="1">
      <alignment horizontal="center" readingOrder="0" shrinkToFit="0" vertical="center" wrapText="0"/>
    </xf>
    <xf borderId="14" fillId="6" fontId="16" numFmtId="0" xfId="0" applyAlignment="1" applyBorder="1" applyFill="1" applyFont="1">
      <alignment horizontal="center" readingOrder="0" shrinkToFit="0" vertical="center" wrapText="0"/>
    </xf>
    <xf borderId="15" fillId="6" fontId="16" numFmtId="0" xfId="0" applyAlignment="1" applyBorder="1" applyFill="1" applyFont="1">
      <alignment horizontal="center" readingOrder="0" shrinkToFit="0" vertical="center" wrapText="0"/>
    </xf>
    <xf borderId="3" fillId="0" fontId="10" numFmtId="0" xfId="0" applyAlignment="1" applyBorder="1" applyFont="1">
      <alignment horizontal="center" shrinkToFit="0" vertical="center" wrapText="0"/>
    </xf>
    <xf borderId="7" fillId="0" fontId="10" numFmtId="0" xfId="0" applyAlignment="1" applyBorder="1" applyFont="1">
      <alignment shrinkToFit="0" vertical="center" wrapText="1"/>
    </xf>
    <xf borderId="7" fillId="0" fontId="10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horizontal="center" shrinkToFit="0" vertical="center" wrapText="0"/>
    </xf>
    <xf borderId="4" fillId="0" fontId="10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vertical="center" wrapText="0"/>
    </xf>
    <xf borderId="0" fillId="0" fontId="15" numFmtId="0" xfId="0" applyAlignment="1" applyFont="1">
      <alignment horizontal="left" vertical="center"/>
    </xf>
    <xf borderId="0" fillId="0" fontId="10" numFmtId="0" xfId="0" applyFont="1"/>
    <xf borderId="0" fillId="0" fontId="10" numFmtId="9" xfId="0" applyFont="1" applyNumberFormat="1"/>
    <xf borderId="16" fillId="0" fontId="17" numFmtId="0" xfId="0" applyAlignment="1" applyBorder="1" applyFont="1">
      <alignment horizontal="center" vertical="center"/>
    </xf>
    <xf borderId="16" fillId="0" fontId="7" numFmtId="0" xfId="0" applyBorder="1" applyFont="1"/>
    <xf borderId="10" fillId="0" fontId="15" numFmtId="0" xfId="0" applyAlignment="1" applyBorder="1" applyFont="1">
      <alignment horizontal="center" readingOrder="0" shrinkToFit="0" vertical="center" wrapText="0"/>
    </xf>
    <xf borderId="8" fillId="0" fontId="15" numFmtId="0" xfId="0" applyAlignment="1" applyBorder="1" applyFont="1">
      <alignment horizontal="center" readingOrder="0" shrinkToFit="0" vertical="center" wrapText="0"/>
    </xf>
    <xf borderId="8" fillId="0" fontId="12" numFmtId="0" xfId="0" applyAlignment="1" applyBorder="1" applyFont="1">
      <alignment horizontal="center" readingOrder="0" shrinkToFit="0" vertical="center" wrapText="0"/>
    </xf>
    <xf borderId="9" fillId="0" fontId="12" numFmtId="0" xfId="0" applyAlignment="1" applyBorder="1" applyFont="1">
      <alignment horizontal="center" readingOrder="0" shrinkToFit="0" vertical="center" wrapText="0"/>
    </xf>
    <xf borderId="5" fillId="0" fontId="10" numFmtId="0" xfId="0" applyAlignment="1" applyBorder="1" applyFont="1">
      <alignment horizontal="center" shrinkToFit="0" vertical="center" wrapText="0"/>
    </xf>
    <xf borderId="0" fillId="0" fontId="15" numFmtId="0" xfId="0" applyAlignment="1" applyFont="1">
      <alignment horizontal="center"/>
    </xf>
    <xf borderId="0" fillId="0" fontId="10" numFmtId="0" xfId="0" applyAlignment="1" applyFont="1">
      <alignment readingOrder="0"/>
    </xf>
    <xf borderId="7" fillId="7" fontId="18" numFmtId="0" xfId="0" applyAlignment="1" applyBorder="1" applyFill="1" applyFont="1">
      <alignment horizontal="center" readingOrder="0" shrinkToFit="0" wrapText="0"/>
    </xf>
    <xf borderId="7" fillId="0" fontId="19" numFmtId="0" xfId="0" applyAlignment="1" applyBorder="1" applyFont="1">
      <alignment readingOrder="0" vertical="bottom"/>
    </xf>
    <xf borderId="7" fillId="0" fontId="19" numFmtId="0" xfId="0" applyAlignment="1" applyBorder="1" applyFont="1">
      <alignment horizontal="center" readingOrder="0" vertical="top"/>
    </xf>
    <xf borderId="7" fillId="0" fontId="19" numFmtId="0" xfId="0" applyAlignment="1" applyBorder="1" applyFont="1">
      <alignment readingOrder="0" vertical="top"/>
    </xf>
  </cellXfs>
  <cellStyles count="1">
    <cellStyle xfId="0" name="Normal" builtinId="0"/>
  </cellStyles>
  <dxfs count="16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/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</dxfs>
  <tableStyles count="24">
    <tableStyle count="4" pivot="0" name="LISTA DE COMPROBACION -CU 0-0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0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0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1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1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2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2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3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3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4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4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5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5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6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6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7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7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7-style 3">
      <tableStyleElement dxfId="8" type="headerRow"/>
      <tableStyleElement dxfId="9" type="firstRowStripe"/>
      <tableStyleElement dxfId="3" type="secondRowStripe"/>
      <tableStyleElement dxfId="10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0-0'!$B$41:$B$43</c:f>
            </c:strRef>
          </c:cat>
          <c:val>
            <c:numRef>
              <c:f>'LISTA DE COMPROBACION -CU 0-0'!$C$41:$C$43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0-1'!$B$41:$B$43</c:f>
            </c:strRef>
          </c:cat>
          <c:val>
            <c:numRef>
              <c:f>'LISTA DE COMPROBACION -CU 0-1'!$C$41:$C$43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0-2'!$B$41:$B$43</c:f>
            </c:strRef>
          </c:cat>
          <c:val>
            <c:numRef>
              <c:f>'LISTA DE COMPROBACION -CU 0-2'!$C$41:$C$43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0-3'!$B$41:$B$43</c:f>
            </c:strRef>
          </c:cat>
          <c:val>
            <c:numRef>
              <c:f>'LISTA DE COMPROBACION -CU 0-3'!$C$41:$C$43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0-4'!$B$41:$B$43</c:f>
            </c:strRef>
          </c:cat>
          <c:val>
            <c:numRef>
              <c:f>'LISTA DE COMPROBACION -CU 0-4'!$C$41:$C$43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0-5'!$B$41:$B$43</c:f>
            </c:strRef>
          </c:cat>
          <c:val>
            <c:numRef>
              <c:f>'LISTA DE COMPROBACION -CU 0-5'!$C$41:$C$43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0-6'!$B$41:$B$43</c:f>
            </c:strRef>
          </c:cat>
          <c:val>
            <c:numRef>
              <c:f>'LISTA DE COMPROBACION -CU 0-6'!$C$41:$C$43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0-7'!$B$41:$B$43</c:f>
            </c:strRef>
          </c:cat>
          <c:val>
            <c:numRef>
              <c:f>'LISTA DE COMPROBACION -CU 0-7'!$C$41:$C$43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67791540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875155937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035505525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91465728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28788477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2146342050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220987601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811617270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LISTA DE COMPROBACION -CU 0-0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LISTA DE COMPROBACION -CU 0-0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LISTA DE COMPROBACION -CU 0-0-style 3" showColumnStripes="0" showFirstColumn="1" showLastColumn="1" showRowStripes="1"/>
</table>
</file>

<file path=xl/tables/table4.xml><?xml version="1.0" encoding="utf-8"?>
<table xmlns="http://schemas.openxmlformats.org/spreadsheetml/2006/main" ref="A7:D16" displayName="Table_24" name="Table_24" id="4">
  <tableColumns count="4">
    <tableColumn name="No." id="1"/>
    <tableColumn name="Pregunta" id="2"/>
    <tableColumn name="SI" id="3"/>
    <tableColumn name="NO " id="4"/>
  </tableColumns>
  <tableStyleInfo name="LISTA DE COMPROBACION -CU 0-1-style" showColumnStripes="0" showFirstColumn="1" showLastColumn="1" showRowStripes="1"/>
</table>
</file>

<file path=xl/tables/table5.xml><?xml version="1.0" encoding="utf-8"?>
<table xmlns="http://schemas.openxmlformats.org/spreadsheetml/2006/main" ref="A21:D26" displayName="Table_26" name="Table_26" id="5">
  <tableColumns count="4">
    <tableColumn name="No." id="1"/>
    <tableColumn name="Pregunta" id="2"/>
    <tableColumn name="SI" id="3"/>
    <tableColumn name="NO " id="4"/>
  </tableColumns>
  <tableStyleInfo name="LISTA DE COMPROBACION -CU 0-1-style 2" showColumnStripes="0" showFirstColumn="1" showLastColumn="1" showRowStripes="1"/>
</table>
</file>

<file path=xl/tables/table6.xml><?xml version="1.0" encoding="utf-8"?>
<table xmlns="http://schemas.openxmlformats.org/spreadsheetml/2006/main" ref="A31:D34" displayName="Table_25" name="Table_25" id="6">
  <tableColumns count="4">
    <tableColumn name="No." id="1"/>
    <tableColumn name="Pregunta" id="2"/>
    <tableColumn name="SI" id="3"/>
    <tableColumn name="NO " id="4"/>
  </tableColumns>
  <tableStyleInfo name="LISTA DE COMPROBACION -CU 0-1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21" name="Table_21" id="7">
  <tableColumns count="4">
    <tableColumn name="No." id="1"/>
    <tableColumn name="Pregunta" id="2"/>
    <tableColumn name="SI" id="3"/>
    <tableColumn name="NO " id="4"/>
  </tableColumns>
  <tableStyleInfo name="LISTA DE COMPROBACION -CU 0-2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23" name="Table_23" id="8">
  <tableColumns count="4">
    <tableColumn name="No." id="1"/>
    <tableColumn name="Pregunta" id="2"/>
    <tableColumn name="SI" id="3"/>
    <tableColumn name="NO " id="4"/>
  </tableColumns>
  <tableStyleInfo name="LISTA DE COMPROBACION -CU 0-2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22" name="Table_22" id="9">
  <tableColumns count="4">
    <tableColumn name="No." id="1"/>
    <tableColumn name="Pregunta" id="2"/>
    <tableColumn name="SI" id="3"/>
    <tableColumn name="NO " id="4"/>
  </tableColumns>
  <tableStyleInfo name="LISTA DE COMPROBACION -CU 0-2-style 3" showColumnStripes="0" showFirstColumn="1" showLastColumn="1" showRowStripes="1"/>
</table>
</file>

<file path=xl/tables/table10.xml><?xml version="1.0" encoding="utf-8"?>
<table xmlns="http://schemas.openxmlformats.org/spreadsheetml/2006/main" ref="A7:D16" displayName="Table_18" name="Table_18" id="10">
  <tableColumns count="4">
    <tableColumn name="No." id="1"/>
    <tableColumn name="Pregunta" id="2"/>
    <tableColumn name="SI" id="3"/>
    <tableColumn name="NO " id="4"/>
  </tableColumns>
  <tableStyleInfo name="LISTA DE COMPROBACION -CU 0-3-style" showColumnStripes="0" showFirstColumn="1" showLastColumn="1" showRowStripes="1"/>
</table>
</file>

<file path=xl/tables/table11.xml><?xml version="1.0" encoding="utf-8"?>
<table xmlns="http://schemas.openxmlformats.org/spreadsheetml/2006/main" ref="A21:D26" displayName="Table_20" name="Table_20" id="11">
  <tableColumns count="4">
    <tableColumn name="No." id="1"/>
    <tableColumn name="Pregunta" id="2"/>
    <tableColumn name="SI" id="3"/>
    <tableColumn name="NO " id="4"/>
  </tableColumns>
  <tableStyleInfo name="LISTA DE COMPROBACION -CU 0-3-style 2" showColumnStripes="0" showFirstColumn="1" showLastColumn="1" showRowStripes="1"/>
</table>
</file>

<file path=xl/tables/table12.xml><?xml version="1.0" encoding="utf-8"?>
<table xmlns="http://schemas.openxmlformats.org/spreadsheetml/2006/main" ref="A31:D34" displayName="Table_19" name="Table_19" id="12">
  <tableColumns count="4">
    <tableColumn name="No." id="1"/>
    <tableColumn name="Pregunta" id="2"/>
    <tableColumn name="SI" id="3"/>
    <tableColumn name="NO " id="4"/>
  </tableColumns>
  <tableStyleInfo name="LISTA DE COMPROBACION -CU 0-3-style 3" showColumnStripes="0" showFirstColumn="1" showLastColumn="1" showRowStripes="1"/>
</table>
</file>

<file path=xl/tables/table13.xml><?xml version="1.0" encoding="utf-8"?>
<table xmlns="http://schemas.openxmlformats.org/spreadsheetml/2006/main" ref="A7:D16" displayName="Table_15" name="Table_15" id="13">
  <tableColumns count="4">
    <tableColumn name="No." id="1"/>
    <tableColumn name="Pregunta" id="2"/>
    <tableColumn name="SI" id="3"/>
    <tableColumn name="NO " id="4"/>
  </tableColumns>
  <tableStyleInfo name="LISTA DE COMPROBACION -CU 0-4-style" showColumnStripes="0" showFirstColumn="1" showLastColumn="1" showRowStripes="1"/>
</table>
</file>

<file path=xl/tables/table14.xml><?xml version="1.0" encoding="utf-8"?>
<table xmlns="http://schemas.openxmlformats.org/spreadsheetml/2006/main" ref="A21:D26" displayName="Table_17" name="Table_17" id="14">
  <tableColumns count="4">
    <tableColumn name="No." id="1"/>
    <tableColumn name="Pregunta" id="2"/>
    <tableColumn name="SI" id="3"/>
    <tableColumn name="NO " id="4"/>
  </tableColumns>
  <tableStyleInfo name="LISTA DE COMPROBACION -CU 0-4-style 2" showColumnStripes="0" showFirstColumn="1" showLastColumn="1" showRowStripes="1"/>
</table>
</file>

<file path=xl/tables/table15.xml><?xml version="1.0" encoding="utf-8"?>
<table xmlns="http://schemas.openxmlformats.org/spreadsheetml/2006/main" ref="A31:D34" displayName="Table_16" name="Table_16" id="15">
  <tableColumns count="4">
    <tableColumn name="No." id="1"/>
    <tableColumn name="Pregunta" id="2"/>
    <tableColumn name="SI" id="3"/>
    <tableColumn name="NO " id="4"/>
  </tableColumns>
  <tableStyleInfo name="LISTA DE COMPROBACION -CU 0-4-style 3" showColumnStripes="0" showFirstColumn="1" showLastColumn="1" showRowStripes="1"/>
</table>
</file>

<file path=xl/tables/table16.xml><?xml version="1.0" encoding="utf-8"?>
<table xmlns="http://schemas.openxmlformats.org/spreadsheetml/2006/main" ref="A7:D16" displayName="Table_12" name="Table_12" id="16">
  <tableColumns count="4">
    <tableColumn name="No." id="1"/>
    <tableColumn name="Pregunta" id="2"/>
    <tableColumn name="SI" id="3"/>
    <tableColumn name="NO " id="4"/>
  </tableColumns>
  <tableStyleInfo name="LISTA DE COMPROBACION -CU 0-5-style" showColumnStripes="0" showFirstColumn="1" showLastColumn="1" showRowStripes="1"/>
</table>
</file>

<file path=xl/tables/table17.xml><?xml version="1.0" encoding="utf-8"?>
<table xmlns="http://schemas.openxmlformats.org/spreadsheetml/2006/main" ref="A21:D26" displayName="Table_14" name="Table_14" id="17">
  <tableColumns count="4">
    <tableColumn name="No." id="1"/>
    <tableColumn name="Pregunta" id="2"/>
    <tableColumn name="SI" id="3"/>
    <tableColumn name="NO " id="4"/>
  </tableColumns>
  <tableStyleInfo name="LISTA DE COMPROBACION -CU 0-5-style 2" showColumnStripes="0" showFirstColumn="1" showLastColumn="1" showRowStripes="1"/>
</table>
</file>

<file path=xl/tables/table18.xml><?xml version="1.0" encoding="utf-8"?>
<table xmlns="http://schemas.openxmlformats.org/spreadsheetml/2006/main" ref="A31:D34" displayName="Table_13" name="Table_13" id="18">
  <tableColumns count="4">
    <tableColumn name="No." id="1"/>
    <tableColumn name="Pregunta" id="2"/>
    <tableColumn name="SI" id="3"/>
    <tableColumn name="NO " id="4"/>
  </tableColumns>
  <tableStyleInfo name="LISTA DE COMPROBACION -CU 0-5-style 3" showColumnStripes="0" showFirstColumn="1" showLastColumn="1" showRowStripes="1"/>
</table>
</file>

<file path=xl/tables/table19.xml><?xml version="1.0" encoding="utf-8"?>
<table xmlns="http://schemas.openxmlformats.org/spreadsheetml/2006/main" ref="A7:D16" displayName="Table_9" name="Table_9" id="19">
  <tableColumns count="4">
    <tableColumn name="No." id="1"/>
    <tableColumn name="Pregunta" id="2"/>
    <tableColumn name="SI" id="3"/>
    <tableColumn name="NO " id="4"/>
  </tableColumns>
  <tableStyleInfo name="LISTA DE COMPROBACION -CU 0-6-style" showColumnStripes="0" showFirstColumn="1" showLastColumn="1" showRowStripes="1"/>
</table>
</file>

<file path=xl/tables/table20.xml><?xml version="1.0" encoding="utf-8"?>
<table xmlns="http://schemas.openxmlformats.org/spreadsheetml/2006/main" ref="A21:D26" displayName="Table_11" name="Table_11" id="20">
  <tableColumns count="4">
    <tableColumn name="No." id="1"/>
    <tableColumn name="Pregunta" id="2"/>
    <tableColumn name="SI" id="3"/>
    <tableColumn name="NO " id="4"/>
  </tableColumns>
  <tableStyleInfo name="LISTA DE COMPROBACION -CU 0-6-style 2" showColumnStripes="0" showFirstColumn="1" showLastColumn="1" showRowStripes="1"/>
</table>
</file>

<file path=xl/tables/table21.xml><?xml version="1.0" encoding="utf-8"?>
<table xmlns="http://schemas.openxmlformats.org/spreadsheetml/2006/main" ref="A31:D34" displayName="Table_10" name="Table_10" id="21">
  <tableColumns count="4">
    <tableColumn name="No." id="1"/>
    <tableColumn name="Pregunta" id="2"/>
    <tableColumn name="SI" id="3"/>
    <tableColumn name="NO " id="4"/>
  </tableColumns>
  <tableStyleInfo name="LISTA DE COMPROBACION -CU 0-6-style 3" showColumnStripes="0" showFirstColumn="1" showLastColumn="1" showRowStripes="1"/>
</table>
</file>

<file path=xl/tables/table22.xml><?xml version="1.0" encoding="utf-8"?>
<table xmlns="http://schemas.openxmlformats.org/spreadsheetml/2006/main" ref="A7:D16" displayName="Table_6" name="Table_6" id="22">
  <tableColumns count="4">
    <tableColumn name="No." id="1"/>
    <tableColumn name="Pregunta" id="2"/>
    <tableColumn name="SI" id="3"/>
    <tableColumn name="NO " id="4"/>
  </tableColumns>
  <tableStyleInfo name="LISTA DE COMPROBACION -CU 0-7-style" showColumnStripes="0" showFirstColumn="1" showLastColumn="1" showRowStripes="1"/>
</table>
</file>

<file path=xl/tables/table23.xml><?xml version="1.0" encoding="utf-8"?>
<table xmlns="http://schemas.openxmlformats.org/spreadsheetml/2006/main" ref="A21:D26" displayName="Table_8" name="Table_8" id="23">
  <tableColumns count="4">
    <tableColumn name="No." id="1"/>
    <tableColumn name="Pregunta" id="2"/>
    <tableColumn name="SI" id="3"/>
    <tableColumn name="NO " id="4"/>
  </tableColumns>
  <tableStyleInfo name="LISTA DE COMPROBACION -CU 0-7-style 2" showColumnStripes="0" showFirstColumn="1" showLastColumn="1" showRowStripes="1"/>
</table>
</file>

<file path=xl/tables/table24.xml><?xml version="1.0" encoding="utf-8"?>
<table xmlns="http://schemas.openxmlformats.org/spreadsheetml/2006/main" ref="A31:D34" displayName="Table_7" name="Table_7" id="24">
  <tableColumns count="4">
    <tableColumn name="No." id="1"/>
    <tableColumn name="Pregunta" id="2"/>
    <tableColumn name="SI" id="3"/>
    <tableColumn name="NO " id="4"/>
  </tableColumns>
  <tableStyleInfo name="LISTA DE COMPROBACION -CU 0-7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10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5" Type="http://schemas.openxmlformats.org/officeDocument/2006/relationships/table" Target="../tables/table13.xml"/><Relationship Id="rId6" Type="http://schemas.openxmlformats.org/officeDocument/2006/relationships/table" Target="../tables/table14.xml"/><Relationship Id="rId7" Type="http://schemas.openxmlformats.org/officeDocument/2006/relationships/table" Target="../tables/table1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5" Type="http://schemas.openxmlformats.org/officeDocument/2006/relationships/table" Target="../tables/table16.xml"/><Relationship Id="rId6" Type="http://schemas.openxmlformats.org/officeDocument/2006/relationships/table" Target="../tables/table17.xml"/><Relationship Id="rId7" Type="http://schemas.openxmlformats.org/officeDocument/2006/relationships/table" Target="../tables/table1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5" Type="http://schemas.openxmlformats.org/officeDocument/2006/relationships/table" Target="../tables/table19.xml"/><Relationship Id="rId6" Type="http://schemas.openxmlformats.org/officeDocument/2006/relationships/table" Target="../tables/table20.xml"/><Relationship Id="rId7" Type="http://schemas.openxmlformats.org/officeDocument/2006/relationships/table" Target="../tables/table2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5" Type="http://schemas.openxmlformats.org/officeDocument/2006/relationships/table" Target="../tables/table22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4.86"/>
    <col customWidth="1" min="5" max="5" width="9.71"/>
    <col customWidth="1" min="6" max="6" width="42.71"/>
    <col customWidth="1" min="7" max="7" width="10.14"/>
    <col customWidth="1" hidden="1" min="8" max="8" width="4.71"/>
    <col customWidth="1" min="9" max="9" width="42.71"/>
    <col customWidth="1" min="10" max="10" width="9.86"/>
    <col customWidth="1" min="11" max="11" width="39.57"/>
    <col customWidth="1" min="12" max="12" width="10.43"/>
    <col customWidth="1" min="13" max="13" width="48.29"/>
    <col customWidth="1" min="14" max="14" width="9.57"/>
    <col customWidth="1" min="15" max="15" width="39.71"/>
    <col customWidth="1" min="16" max="16" width="9.0"/>
    <col customWidth="1" min="17" max="17" width="41.0"/>
    <col customWidth="1" min="18" max="18" width="8.29"/>
    <col customWidth="1" min="19" max="19" width="50.0"/>
    <col customWidth="1" min="20" max="20" width="10.57"/>
    <col customWidth="1" min="21" max="21" width="41.14"/>
  </cols>
  <sheetData>
    <row r="1" ht="14.25" customHeight="1">
      <c r="C1" s="1"/>
    </row>
    <row r="2" ht="36.75" customHeight="1">
      <c r="C2" s="1"/>
      <c r="D2" s="2" t="s">
        <v>0</v>
      </c>
      <c r="E2" s="2" t="s">
        <v>1</v>
      </c>
    </row>
    <row r="3" ht="30.0" customHeight="1">
      <c r="C3" s="3" t="s">
        <v>2</v>
      </c>
    </row>
    <row r="4" ht="30.0" customHeight="1">
      <c r="Q4" s="4"/>
    </row>
    <row r="5" ht="30.0" customHeight="1">
      <c r="C5" s="3"/>
      <c r="D5" s="5" t="s">
        <v>3</v>
      </c>
      <c r="E5" s="6" t="s">
        <v>4</v>
      </c>
    </row>
    <row r="6" ht="55.5" customHeight="1">
      <c r="C6" s="1"/>
      <c r="F6" s="7" t="s">
        <v>5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9"/>
    </row>
    <row r="7" ht="45.0" customHeight="1">
      <c r="B7" s="10" t="s">
        <v>6</v>
      </c>
      <c r="C7" s="11" t="s">
        <v>7</v>
      </c>
      <c r="D7" s="12"/>
      <c r="E7" s="13" t="s">
        <v>8</v>
      </c>
      <c r="F7" s="14" t="s">
        <v>9</v>
      </c>
      <c r="G7" s="13" t="s">
        <v>8</v>
      </c>
      <c r="H7" s="15">
        <v>100.0</v>
      </c>
      <c r="I7" s="14" t="s">
        <v>10</v>
      </c>
      <c r="J7" s="13" t="s">
        <v>8</v>
      </c>
      <c r="K7" s="14" t="s">
        <v>11</v>
      </c>
      <c r="L7" s="13" t="s">
        <v>8</v>
      </c>
      <c r="M7" s="14" t="s">
        <v>12</v>
      </c>
      <c r="N7" s="13" t="s">
        <v>8</v>
      </c>
      <c r="O7" s="14" t="s">
        <v>13</v>
      </c>
      <c r="P7" s="13" t="s">
        <v>8</v>
      </c>
      <c r="Q7" s="14" t="s">
        <v>14</v>
      </c>
      <c r="R7" s="13" t="s">
        <v>8</v>
      </c>
      <c r="S7" s="14" t="s">
        <v>15</v>
      </c>
      <c r="T7" s="13" t="s">
        <v>8</v>
      </c>
      <c r="U7" s="14" t="s">
        <v>16</v>
      </c>
    </row>
    <row r="8" ht="60.0" customHeight="1">
      <c r="B8" s="16"/>
      <c r="C8" s="17"/>
      <c r="D8" s="18"/>
      <c r="E8" s="16"/>
      <c r="F8" s="16"/>
      <c r="G8" s="16"/>
      <c r="H8" s="15">
        <v>0.0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</row>
    <row r="9">
      <c r="B9" s="19">
        <v>1.0</v>
      </c>
      <c r="C9" s="20" t="s">
        <v>17</v>
      </c>
      <c r="D9" s="9"/>
      <c r="E9" s="21" t="s">
        <v>18</v>
      </c>
      <c r="F9" s="22" t="s">
        <v>19</v>
      </c>
      <c r="G9" s="21" t="s">
        <v>18</v>
      </c>
      <c r="H9" s="23">
        <v>1.0</v>
      </c>
      <c r="I9" s="22" t="s">
        <v>20</v>
      </c>
      <c r="J9" s="21" t="s">
        <v>18</v>
      </c>
      <c r="K9" s="22" t="s">
        <v>21</v>
      </c>
      <c r="L9" s="21" t="s">
        <v>18</v>
      </c>
      <c r="M9" s="22" t="s">
        <v>19</v>
      </c>
      <c r="N9" s="21" t="s">
        <v>18</v>
      </c>
      <c r="O9" s="22" t="s">
        <v>19</v>
      </c>
      <c r="P9" s="21" t="s">
        <v>18</v>
      </c>
      <c r="Q9" s="22" t="s">
        <v>19</v>
      </c>
      <c r="R9" s="21" t="s">
        <v>18</v>
      </c>
      <c r="S9" s="22" t="s">
        <v>19</v>
      </c>
      <c r="T9" s="21" t="s">
        <v>18</v>
      </c>
      <c r="U9" s="22" t="s">
        <v>19</v>
      </c>
    </row>
    <row r="10">
      <c r="B10" s="19">
        <v>2.0</v>
      </c>
      <c r="C10" s="20" t="s">
        <v>22</v>
      </c>
      <c r="D10" s="9"/>
      <c r="E10" s="21" t="s">
        <v>18</v>
      </c>
      <c r="F10" s="24" t="s">
        <v>23</v>
      </c>
      <c r="G10" s="21" t="s">
        <v>18</v>
      </c>
      <c r="I10" s="24" t="s">
        <v>23</v>
      </c>
      <c r="J10" s="21" t="s">
        <v>18</v>
      </c>
      <c r="K10" s="24" t="s">
        <v>23</v>
      </c>
      <c r="L10" s="21" t="s">
        <v>18</v>
      </c>
      <c r="M10" s="24" t="s">
        <v>23</v>
      </c>
      <c r="N10" s="21" t="s">
        <v>18</v>
      </c>
      <c r="O10" s="24" t="s">
        <v>23</v>
      </c>
      <c r="P10" s="21" t="s">
        <v>18</v>
      </c>
      <c r="Q10" s="24" t="s">
        <v>23</v>
      </c>
      <c r="R10" s="21" t="s">
        <v>18</v>
      </c>
      <c r="S10" s="24" t="s">
        <v>23</v>
      </c>
      <c r="T10" s="21" t="s">
        <v>18</v>
      </c>
      <c r="U10" s="24" t="s">
        <v>23</v>
      </c>
    </row>
    <row r="11">
      <c r="B11" s="19">
        <v>3.0</v>
      </c>
      <c r="C11" s="20" t="s">
        <v>24</v>
      </c>
      <c r="D11" s="9"/>
      <c r="E11" s="21" t="s">
        <v>18</v>
      </c>
      <c r="F11" s="24" t="s">
        <v>25</v>
      </c>
      <c r="G11" s="21" t="s">
        <v>18</v>
      </c>
      <c r="I11" s="24" t="s">
        <v>25</v>
      </c>
      <c r="J11" s="21" t="s">
        <v>18</v>
      </c>
      <c r="K11" s="24" t="s">
        <v>25</v>
      </c>
      <c r="L11" s="21" t="s">
        <v>18</v>
      </c>
      <c r="M11" s="24" t="s">
        <v>25</v>
      </c>
      <c r="N11" s="21" t="s">
        <v>18</v>
      </c>
      <c r="O11" s="24" t="s">
        <v>25</v>
      </c>
      <c r="P11" s="21" t="s">
        <v>18</v>
      </c>
      <c r="Q11" s="24" t="s">
        <v>25</v>
      </c>
      <c r="R11" s="21" t="s">
        <v>18</v>
      </c>
      <c r="S11" s="24" t="s">
        <v>25</v>
      </c>
      <c r="T11" s="21" t="s">
        <v>18</v>
      </c>
      <c r="U11" s="24" t="s">
        <v>25</v>
      </c>
    </row>
    <row r="12">
      <c r="B12" s="19">
        <v>4.0</v>
      </c>
      <c r="C12" s="20" t="s">
        <v>26</v>
      </c>
      <c r="D12" s="9"/>
      <c r="E12" s="21" t="s">
        <v>18</v>
      </c>
      <c r="F12" s="25" t="s">
        <v>27</v>
      </c>
      <c r="G12" s="21" t="s">
        <v>18</v>
      </c>
      <c r="I12" s="25" t="s">
        <v>27</v>
      </c>
      <c r="J12" s="21" t="s">
        <v>18</v>
      </c>
      <c r="K12" s="25" t="s">
        <v>28</v>
      </c>
      <c r="L12" s="21" t="s">
        <v>18</v>
      </c>
      <c r="M12" s="25" t="s">
        <v>27</v>
      </c>
      <c r="N12" s="21" t="s">
        <v>18</v>
      </c>
      <c r="O12" s="25" t="s">
        <v>27</v>
      </c>
      <c r="P12" s="21" t="s">
        <v>18</v>
      </c>
      <c r="Q12" s="25" t="s">
        <v>27</v>
      </c>
      <c r="R12" s="21" t="s">
        <v>18</v>
      </c>
      <c r="S12" s="25" t="s">
        <v>27</v>
      </c>
      <c r="T12" s="21" t="s">
        <v>18</v>
      </c>
      <c r="U12" s="25" t="s">
        <v>27</v>
      </c>
    </row>
    <row r="13">
      <c r="B13" s="19">
        <v>5.0</v>
      </c>
      <c r="C13" s="20" t="s">
        <v>29</v>
      </c>
      <c r="D13" s="9"/>
      <c r="E13" s="21" t="s">
        <v>18</v>
      </c>
      <c r="F13" s="25" t="s">
        <v>30</v>
      </c>
      <c r="G13" s="21" t="s">
        <v>18</v>
      </c>
      <c r="I13" s="25" t="s">
        <v>30</v>
      </c>
      <c r="J13" s="21" t="s">
        <v>18</v>
      </c>
      <c r="K13" s="25" t="s">
        <v>30</v>
      </c>
      <c r="L13" s="21" t="s">
        <v>18</v>
      </c>
      <c r="M13" s="25" t="s">
        <v>30</v>
      </c>
      <c r="N13" s="21" t="s">
        <v>18</v>
      </c>
      <c r="O13" s="25" t="s">
        <v>30</v>
      </c>
      <c r="P13" s="21" t="s">
        <v>18</v>
      </c>
      <c r="Q13" s="25" t="s">
        <v>30</v>
      </c>
      <c r="R13" s="21" t="s">
        <v>18</v>
      </c>
      <c r="S13" s="25" t="s">
        <v>30</v>
      </c>
      <c r="T13" s="21" t="s">
        <v>18</v>
      </c>
      <c r="U13" s="25" t="s">
        <v>30</v>
      </c>
    </row>
    <row r="14">
      <c r="B14" s="19">
        <v>6.0</v>
      </c>
      <c r="C14" s="20" t="s">
        <v>31</v>
      </c>
      <c r="D14" s="9"/>
      <c r="E14" s="21" t="s">
        <v>18</v>
      </c>
      <c r="F14" s="25" t="s">
        <v>32</v>
      </c>
      <c r="G14" s="21" t="s">
        <v>18</v>
      </c>
      <c r="I14" s="25" t="s">
        <v>33</v>
      </c>
      <c r="J14" s="21" t="s">
        <v>18</v>
      </c>
      <c r="K14" s="25" t="s">
        <v>33</v>
      </c>
      <c r="L14" s="21" t="s">
        <v>18</v>
      </c>
      <c r="M14" s="25" t="s">
        <v>32</v>
      </c>
      <c r="N14" s="21" t="s">
        <v>18</v>
      </c>
      <c r="O14" s="25" t="s">
        <v>32</v>
      </c>
      <c r="P14" s="21" t="s">
        <v>18</v>
      </c>
      <c r="Q14" s="25" t="s">
        <v>32</v>
      </c>
      <c r="R14" s="21" t="s">
        <v>18</v>
      </c>
      <c r="S14" s="25" t="s">
        <v>32</v>
      </c>
      <c r="T14" s="21" t="s">
        <v>18</v>
      </c>
      <c r="U14" s="25" t="s">
        <v>32</v>
      </c>
    </row>
    <row r="15">
      <c r="B15" s="19">
        <v>7.0</v>
      </c>
      <c r="C15" s="20" t="s">
        <v>34</v>
      </c>
      <c r="D15" s="9"/>
      <c r="E15" s="26" t="s">
        <v>35</v>
      </c>
      <c r="F15" s="25" t="s">
        <v>36</v>
      </c>
      <c r="G15" s="26" t="s">
        <v>35</v>
      </c>
      <c r="I15" s="25" t="s">
        <v>36</v>
      </c>
      <c r="J15" s="26" t="s">
        <v>35</v>
      </c>
      <c r="K15" s="25" t="s">
        <v>36</v>
      </c>
      <c r="L15" s="26" t="s">
        <v>35</v>
      </c>
      <c r="M15" s="25" t="s">
        <v>36</v>
      </c>
      <c r="N15" s="26" t="s">
        <v>35</v>
      </c>
      <c r="O15" s="25" t="s">
        <v>36</v>
      </c>
      <c r="P15" s="26" t="s">
        <v>35</v>
      </c>
      <c r="Q15" s="25" t="s">
        <v>36</v>
      </c>
      <c r="R15" s="26" t="s">
        <v>35</v>
      </c>
      <c r="S15" s="25" t="s">
        <v>36</v>
      </c>
      <c r="T15" s="26" t="s">
        <v>35</v>
      </c>
      <c r="U15" s="25" t="s">
        <v>36</v>
      </c>
    </row>
    <row r="16">
      <c r="B16" s="19">
        <v>8.0</v>
      </c>
      <c r="C16" s="20" t="s">
        <v>37</v>
      </c>
      <c r="D16" s="9"/>
      <c r="E16" s="21" t="s">
        <v>18</v>
      </c>
      <c r="F16" s="25" t="s">
        <v>38</v>
      </c>
      <c r="G16" s="21" t="s">
        <v>18</v>
      </c>
      <c r="I16" s="25" t="s">
        <v>38</v>
      </c>
      <c r="J16" s="21" t="s">
        <v>18</v>
      </c>
      <c r="K16" s="25" t="s">
        <v>38</v>
      </c>
      <c r="L16" s="21" t="s">
        <v>18</v>
      </c>
      <c r="M16" s="25" t="s">
        <v>38</v>
      </c>
      <c r="N16" s="21" t="s">
        <v>18</v>
      </c>
      <c r="O16" s="25" t="s">
        <v>38</v>
      </c>
      <c r="P16" s="21" t="s">
        <v>18</v>
      </c>
      <c r="Q16" s="25" t="s">
        <v>38</v>
      </c>
      <c r="R16" s="21" t="s">
        <v>18</v>
      </c>
      <c r="S16" s="25" t="s">
        <v>38</v>
      </c>
      <c r="T16" s="21" t="s">
        <v>18</v>
      </c>
      <c r="U16" s="25" t="s">
        <v>38</v>
      </c>
    </row>
    <row r="17">
      <c r="B17" s="19">
        <v>9.0</v>
      </c>
      <c r="C17" s="20" t="s">
        <v>39</v>
      </c>
      <c r="D17" s="9"/>
      <c r="E17" s="21" t="s">
        <v>18</v>
      </c>
      <c r="F17" s="27" t="s">
        <v>40</v>
      </c>
      <c r="G17" s="21" t="s">
        <v>18</v>
      </c>
      <c r="I17" s="27" t="s">
        <v>40</v>
      </c>
      <c r="J17" s="21" t="s">
        <v>18</v>
      </c>
      <c r="K17" s="27" t="s">
        <v>41</v>
      </c>
      <c r="L17" s="21" t="s">
        <v>18</v>
      </c>
      <c r="M17" s="27" t="s">
        <v>40</v>
      </c>
      <c r="N17" s="21" t="s">
        <v>18</v>
      </c>
      <c r="O17" s="27" t="s">
        <v>40</v>
      </c>
      <c r="P17" s="21" t="s">
        <v>18</v>
      </c>
      <c r="Q17" s="27" t="s">
        <v>40</v>
      </c>
      <c r="R17" s="21" t="s">
        <v>18</v>
      </c>
      <c r="S17" s="27" t="s">
        <v>40</v>
      </c>
      <c r="T17" s="21" t="s">
        <v>18</v>
      </c>
      <c r="U17" s="27" t="s">
        <v>40</v>
      </c>
    </row>
    <row r="18">
      <c r="B18" s="19">
        <v>10.0</v>
      </c>
      <c r="C18" s="20" t="s">
        <v>42</v>
      </c>
      <c r="D18" s="9"/>
      <c r="E18" s="21" t="s">
        <v>18</v>
      </c>
      <c r="F18" s="25" t="s">
        <v>43</v>
      </c>
      <c r="G18" s="21" t="s">
        <v>18</v>
      </c>
      <c r="I18" s="25" t="s">
        <v>44</v>
      </c>
      <c r="J18" s="21" t="s">
        <v>18</v>
      </c>
      <c r="K18" s="25" t="s">
        <v>45</v>
      </c>
      <c r="L18" s="21" t="s">
        <v>18</v>
      </c>
      <c r="M18" s="25" t="s">
        <v>43</v>
      </c>
      <c r="N18" s="21" t="s">
        <v>18</v>
      </c>
      <c r="O18" s="25" t="s">
        <v>43</v>
      </c>
      <c r="P18" s="21" t="s">
        <v>18</v>
      </c>
      <c r="Q18" s="25" t="s">
        <v>43</v>
      </c>
      <c r="R18" s="21" t="s">
        <v>18</v>
      </c>
      <c r="S18" s="25" t="s">
        <v>43</v>
      </c>
      <c r="T18" s="21" t="s">
        <v>18</v>
      </c>
      <c r="U18" s="25" t="s">
        <v>43</v>
      </c>
    </row>
    <row r="19">
      <c r="B19" s="19">
        <v>11.0</v>
      </c>
      <c r="C19" s="20" t="s">
        <v>46</v>
      </c>
      <c r="D19" s="9"/>
      <c r="E19" s="21" t="s">
        <v>18</v>
      </c>
      <c r="F19" s="25" t="s">
        <v>47</v>
      </c>
      <c r="G19" s="21" t="s">
        <v>18</v>
      </c>
      <c r="I19" s="25" t="s">
        <v>48</v>
      </c>
      <c r="J19" s="21" t="s">
        <v>18</v>
      </c>
      <c r="K19" s="25" t="s">
        <v>48</v>
      </c>
      <c r="L19" s="21" t="s">
        <v>18</v>
      </c>
      <c r="M19" s="25" t="s">
        <v>47</v>
      </c>
      <c r="N19" s="21" t="s">
        <v>18</v>
      </c>
      <c r="O19" s="25" t="s">
        <v>47</v>
      </c>
      <c r="P19" s="21" t="s">
        <v>18</v>
      </c>
      <c r="Q19" s="25" t="s">
        <v>47</v>
      </c>
      <c r="R19" s="21" t="s">
        <v>18</v>
      </c>
      <c r="S19" s="25" t="s">
        <v>47</v>
      </c>
      <c r="T19" s="21" t="s">
        <v>18</v>
      </c>
      <c r="U19" s="25" t="s">
        <v>47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C14:D14"/>
    <mergeCell ref="C15:D15"/>
    <mergeCell ref="C16:D16"/>
    <mergeCell ref="C17:D17"/>
    <mergeCell ref="C18:D18"/>
    <mergeCell ref="C19:D19"/>
    <mergeCell ref="G7:G8"/>
    <mergeCell ref="I7:I8"/>
    <mergeCell ref="C9:D9"/>
    <mergeCell ref="C10:D10"/>
    <mergeCell ref="C11:D11"/>
    <mergeCell ref="C12:D12"/>
    <mergeCell ref="C13:D13"/>
    <mergeCell ref="T7:T8"/>
    <mergeCell ref="U7:U8"/>
    <mergeCell ref="C3:K4"/>
    <mergeCell ref="E5:K5"/>
    <mergeCell ref="B7:B8"/>
    <mergeCell ref="C7:D8"/>
    <mergeCell ref="E7:E8"/>
    <mergeCell ref="F7:F8"/>
    <mergeCell ref="F6:U6"/>
    <mergeCell ref="J7:J8"/>
    <mergeCell ref="K7:K8"/>
    <mergeCell ref="L7:L8"/>
    <mergeCell ref="M7:M8"/>
    <mergeCell ref="N7:N8"/>
    <mergeCell ref="O7:O8"/>
    <mergeCell ref="P7:P8"/>
    <mergeCell ref="Q7:Q8"/>
    <mergeCell ref="R7:R8"/>
    <mergeCell ref="S7:S8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51</v>
      </c>
    </row>
    <row r="4">
      <c r="B4" s="31" t="s">
        <v>52</v>
      </c>
      <c r="C4" s="33" t="s">
        <v>9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4" t="s">
        <v>59</v>
      </c>
    </row>
    <row r="17">
      <c r="A17" s="45" t="s">
        <v>68</v>
      </c>
      <c r="C17" s="46">
        <f>COUNTA('LISTA DE COMPROBACION -CU 0-0'!$C$8:$C$16)</f>
        <v>8</v>
      </c>
      <c r="D17" s="46">
        <f>COUNTA('LISTA DE COMPROBACION -CU 0-0'!$D$8:$D$16)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0-0'!$C$22:$C$26)</f>
        <v>5</v>
      </c>
      <c r="D27" s="46">
        <f>COUNTA('LISTA DE COMPROBACION -CU 0-0'!$D$22:$D$26)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0-0'!$C$32:$C$34)</f>
        <v>3</v>
      </c>
      <c r="D35" s="23">
        <f>COUNTA('LISTA DE COMPROBACION -CU 0-0'!$D$32:$D$34)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46">
        <v>89.0</v>
      </c>
    </row>
    <row r="42">
      <c r="B42" s="28" t="s">
        <v>70</v>
      </c>
      <c r="C42" s="4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51</v>
      </c>
    </row>
    <row r="4">
      <c r="B4" s="31" t="s">
        <v>52</v>
      </c>
      <c r="C4" s="33" t="s">
        <v>10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4" t="s">
        <v>59</v>
      </c>
    </row>
    <row r="17">
      <c r="A17" s="45" t="s">
        <v>68</v>
      </c>
      <c r="C17" s="46">
        <f>COUNTA('LISTA DE COMPROBACION -CU 0-1'!$C$8:$C$16)</f>
        <v>8</v>
      </c>
      <c r="D17" s="46">
        <f>COUNTA('LISTA DE COMPROBACION -CU 0-1'!$D$8:$D$16)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0-1'!$C$22:$C$26)</f>
        <v>5</v>
      </c>
      <c r="D27" s="46">
        <f>COUNTA('LISTA DE COMPROBACION -CU 0-1'!$D$22:$D$26)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0-1'!$C$32:$C$34)</f>
        <v>3</v>
      </c>
      <c r="D35" s="23">
        <f>COUNTA('LISTA DE COMPROBACION -CU 0-1'!$D$32:$D$34)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46">
        <v>89.0</v>
      </c>
    </row>
    <row r="42">
      <c r="B42" s="28" t="s">
        <v>70</v>
      </c>
      <c r="C42" s="4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82</v>
      </c>
    </row>
    <row r="4">
      <c r="B4" s="31" t="s">
        <v>52</v>
      </c>
      <c r="C4" s="33" t="s">
        <v>11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4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4" t="s">
        <v>59</v>
      </c>
    </row>
    <row r="17">
      <c r="A17" s="45" t="s">
        <v>68</v>
      </c>
      <c r="C17" s="46">
        <f>COUNTA('LISTA DE COMPROBACION -CU 0-2'!$C$8:$C$16)</f>
        <v>8</v>
      </c>
      <c r="D17" s="46">
        <f>COUNTA('LISTA DE COMPROBACION -CU 0-2'!$D$8:$D$16)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4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0-2'!$C$22:$C$26)</f>
        <v>5</v>
      </c>
      <c r="D27" s="46">
        <f>COUNTA('LISTA DE COMPROBACION -CU 0-2'!$D$22:$D$26)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0-2'!$C$32:$C$34)</f>
        <v>3</v>
      </c>
      <c r="D35" s="23">
        <f>COUNTA('LISTA DE COMPROBACION -CU 0-2'!$D$32:$D$34)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56">
        <v>89.0</v>
      </c>
    </row>
    <row r="42">
      <c r="B42" s="28" t="s">
        <v>70</v>
      </c>
      <c r="C42" s="5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82</v>
      </c>
    </row>
    <row r="4">
      <c r="B4" s="31" t="s">
        <v>52</v>
      </c>
      <c r="C4" s="33" t="s">
        <v>83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0" t="s">
        <v>59</v>
      </c>
    </row>
    <row r="17">
      <c r="A17" s="45" t="s">
        <v>68</v>
      </c>
      <c r="C17" s="46">
        <f>COUNTA('LISTA DE COMPROBACION -CU 0-3'!$C$8:$C$16)</f>
        <v>8</v>
      </c>
      <c r="D17" s="46">
        <f>COUNTA('LISTA DE COMPROBACION -CU 0-3'!$D$8:$D$16)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0-3'!$C$22:$C$26)</f>
        <v>5</v>
      </c>
      <c r="D27" s="46">
        <f>COUNTA('LISTA DE COMPROBACION -CU 0-3'!$D$22:$D$26)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0-3'!$C$32:$C$34)</f>
        <v>3</v>
      </c>
      <c r="D35" s="23">
        <f>COUNTA('LISTA DE COMPROBACION -CU 0-3'!$D$32:$D$34)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46">
        <v>89.0</v>
      </c>
    </row>
    <row r="42">
      <c r="B42" s="28" t="s">
        <v>70</v>
      </c>
      <c r="C42" s="4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84</v>
      </c>
    </row>
    <row r="4">
      <c r="B4" s="31" t="s">
        <v>52</v>
      </c>
      <c r="C4" s="33" t="s">
        <v>85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0" t="s">
        <v>59</v>
      </c>
    </row>
    <row r="17">
      <c r="A17" s="45" t="s">
        <v>68</v>
      </c>
      <c r="C17" s="46">
        <f>COUNTA('LISTA DE COMPROBACION -CU 0-4'!$C$8:$C$16)</f>
        <v>8</v>
      </c>
      <c r="D17" s="46">
        <f>COUNTA('LISTA DE COMPROBACION -CU 0-4'!$D$8:$D$16)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0" t="s">
        <v>59</v>
      </c>
      <c r="D25" s="40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0-4'!$C$22:$C$26)</f>
        <v>5</v>
      </c>
      <c r="D27" s="46">
        <f>COUNTA('LISTA DE COMPROBACION -CU 0-4'!$D$22:$D$26)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0-4'!$C$32:$C$34)</f>
        <v>3</v>
      </c>
      <c r="D35" s="23">
        <f>COUNTA('LISTA DE COMPROBACION -CU 0-4'!$D$32:$D$34)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56">
        <v>89.0</v>
      </c>
    </row>
    <row r="42">
      <c r="B42" s="28" t="s">
        <v>70</v>
      </c>
      <c r="C42" s="5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D25 C32:D34">
    <cfRule type="containsText" dxfId="12" priority="2" operator="containsText" text="X">
      <formula>NOT(ISERROR(SEARCH(("X"),(C8))))</formula>
    </cfRule>
  </conditionalFormatting>
  <conditionalFormatting sqref="C8:D16 C22:C26 D25 C32:D34">
    <cfRule type="containsText" dxfId="13" priority="3" operator="containsText" text="X">
      <formula>NOT(ISERROR(SEARCH(("X"),(C8))))</formula>
    </cfRule>
  </conditionalFormatting>
  <conditionalFormatting sqref="C8:D16 C22:C26 D25 C32:D34">
    <cfRule type="containsText" dxfId="14" priority="4" operator="containsText" text="X">
      <formula>NOT(ISERROR(SEARCH(("X"),(C8))))</formula>
    </cfRule>
  </conditionalFormatting>
  <conditionalFormatting sqref="C8:D16 C22:C26 D25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82</v>
      </c>
    </row>
    <row r="4">
      <c r="B4" s="31" t="s">
        <v>52</v>
      </c>
      <c r="C4" s="33" t="s">
        <v>86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0" t="s">
        <v>59</v>
      </c>
    </row>
    <row r="17">
      <c r="A17" s="45" t="s">
        <v>68</v>
      </c>
      <c r="C17" s="46">
        <f>COUNTA('LISTA DE COMPROBACION -CU 0-5'!$C$8:$C$16)</f>
        <v>8</v>
      </c>
      <c r="D17" s="46">
        <f>COUNTA('LISTA DE COMPROBACION -CU 0-5'!$D$8:$D$16)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0-5'!$C$22:$C$26)</f>
        <v>5</v>
      </c>
      <c r="D27" s="46">
        <f>COUNTA('LISTA DE COMPROBACION -CU 0-5'!$D$22:$D$26)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0-5'!$C$32:$C$34)</f>
        <v>3</v>
      </c>
      <c r="D35" s="23">
        <f>COUNTA('LISTA DE COMPROBACION -CU 0-5'!$D$32:$D$34)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56">
        <v>89.0</v>
      </c>
    </row>
    <row r="42">
      <c r="B42" s="28" t="s">
        <v>70</v>
      </c>
      <c r="C42" s="4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84</v>
      </c>
    </row>
    <row r="4">
      <c r="B4" s="31" t="s">
        <v>52</v>
      </c>
      <c r="C4" s="33" t="s">
        <v>87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0" t="s">
        <v>59</v>
      </c>
    </row>
    <row r="17">
      <c r="A17" s="45" t="s">
        <v>68</v>
      </c>
      <c r="C17" s="46">
        <f>COUNTA('LISTA DE COMPROBACION -CU 0-6'!$C$8:$C$16)</f>
        <v>8</v>
      </c>
      <c r="D17" s="46">
        <f>COUNTA('LISTA DE COMPROBACION -CU 0-6'!$D$8:$D$16)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0-6'!$C$22:$C$26)</f>
        <v>5</v>
      </c>
      <c r="D27" s="46">
        <f>COUNTA('LISTA DE COMPROBACION -CU 0-6'!$D$22:$D$26)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0-6'!$C$32:$C$34)</f>
        <v>3</v>
      </c>
      <c r="D35" s="23">
        <f>COUNTA('LISTA DE COMPROBACION -CU 0-6'!$D$32:$D$34)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56">
        <v>89.0</v>
      </c>
    </row>
    <row r="42">
      <c r="B42" s="28" t="s">
        <v>70</v>
      </c>
      <c r="C42" s="5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8"/>
      <c r="B1" s="29" t="s">
        <v>3</v>
      </c>
      <c r="C1" s="30" t="s">
        <v>4</v>
      </c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B2" s="31" t="s">
        <v>49</v>
      </c>
      <c r="C2" s="32">
        <v>46300.0</v>
      </c>
    </row>
    <row r="3">
      <c r="B3" s="31" t="s">
        <v>50</v>
      </c>
      <c r="C3" s="33" t="s">
        <v>84</v>
      </c>
    </row>
    <row r="4">
      <c r="B4" s="31" t="s">
        <v>52</v>
      </c>
      <c r="C4" s="33" t="s">
        <v>88</v>
      </c>
    </row>
    <row r="5" ht="14.25" customHeight="1"/>
    <row r="6">
      <c r="A6" s="34" t="s">
        <v>53</v>
      </c>
    </row>
    <row r="7" ht="15.0" customHeight="1">
      <c r="A7" s="35" t="s">
        <v>54</v>
      </c>
      <c r="B7" s="36" t="s">
        <v>55</v>
      </c>
      <c r="C7" s="36" t="s">
        <v>56</v>
      </c>
      <c r="D7" s="37" t="s">
        <v>57</v>
      </c>
    </row>
    <row r="8">
      <c r="A8" s="38">
        <v>1.0</v>
      </c>
      <c r="B8" s="39" t="s">
        <v>58</v>
      </c>
      <c r="C8" s="40" t="s">
        <v>59</v>
      </c>
      <c r="D8" s="41"/>
    </row>
    <row r="9">
      <c r="A9" s="38">
        <v>2.0</v>
      </c>
      <c r="B9" s="39" t="s">
        <v>60</v>
      </c>
      <c r="C9" s="40" t="s">
        <v>59</v>
      </c>
      <c r="D9" s="41"/>
    </row>
    <row r="10">
      <c r="A10" s="38">
        <v>3.0</v>
      </c>
      <c r="B10" s="39" t="s">
        <v>61</v>
      </c>
      <c r="C10" s="40" t="s">
        <v>59</v>
      </c>
      <c r="D10" s="41"/>
    </row>
    <row r="11">
      <c r="A11" s="38">
        <v>4.0</v>
      </c>
      <c r="B11" s="39" t="s">
        <v>62</v>
      </c>
      <c r="C11" s="40" t="s">
        <v>59</v>
      </c>
      <c r="D11" s="41"/>
    </row>
    <row r="12">
      <c r="A12" s="38">
        <v>5.0</v>
      </c>
      <c r="B12" s="39" t="s">
        <v>63</v>
      </c>
      <c r="C12" s="40" t="s">
        <v>59</v>
      </c>
      <c r="D12" s="41"/>
    </row>
    <row r="13">
      <c r="A13" s="38">
        <v>6.0</v>
      </c>
      <c r="B13" s="39" t="s">
        <v>64</v>
      </c>
      <c r="C13" s="40" t="s">
        <v>59</v>
      </c>
      <c r="D13" s="41"/>
    </row>
    <row r="14">
      <c r="A14" s="38">
        <v>7.0</v>
      </c>
      <c r="B14" s="39" t="s">
        <v>65</v>
      </c>
      <c r="C14" s="40" t="s">
        <v>59</v>
      </c>
      <c r="D14" s="40"/>
    </row>
    <row r="15">
      <c r="A15" s="38">
        <v>8.0</v>
      </c>
      <c r="B15" s="39" t="s">
        <v>66</v>
      </c>
      <c r="C15" s="40" t="s">
        <v>59</v>
      </c>
      <c r="D15" s="41"/>
    </row>
    <row r="16">
      <c r="A16" s="42">
        <v>9.0</v>
      </c>
      <c r="B16" s="43" t="s">
        <v>67</v>
      </c>
      <c r="C16" s="44"/>
      <c r="D16" s="44" t="s">
        <v>59</v>
      </c>
    </row>
    <row r="17">
      <c r="A17" s="45" t="s">
        <v>68</v>
      </c>
      <c r="C17" s="46">
        <f>COUNTA('LISTA DE COMPROBACION -CU 0-7'!$C$8:$C$16)</f>
        <v>8</v>
      </c>
      <c r="D17" s="46">
        <f>COUNTA('LISTA DE COMPROBACION -CU 0-7'!$D$8:$D$16)</f>
        <v>1</v>
      </c>
    </row>
    <row r="18">
      <c r="A18" s="45" t="s">
        <v>69</v>
      </c>
      <c r="C18" s="47">
        <f t="shared" ref="C18:D18" si="1">C17/9</f>
        <v>0.8888888889</v>
      </c>
      <c r="D18" s="47">
        <f t="shared" si="1"/>
        <v>0.1111111111</v>
      </c>
    </row>
    <row r="19">
      <c r="A19" s="45"/>
      <c r="B19" s="45"/>
      <c r="C19" s="47"/>
      <c r="D19" s="46"/>
    </row>
    <row r="20">
      <c r="A20" s="48" t="s">
        <v>70</v>
      </c>
      <c r="B20" s="49"/>
      <c r="C20" s="49"/>
      <c r="D20" s="49"/>
    </row>
    <row r="21">
      <c r="A21" s="50" t="s">
        <v>54</v>
      </c>
      <c r="B21" s="51" t="s">
        <v>55</v>
      </c>
      <c r="C21" s="52" t="s">
        <v>56</v>
      </c>
      <c r="D21" s="53" t="s">
        <v>57</v>
      </c>
    </row>
    <row r="22">
      <c r="A22" s="38">
        <v>1.0</v>
      </c>
      <c r="B22" s="39" t="s">
        <v>71</v>
      </c>
      <c r="C22" s="44" t="s">
        <v>59</v>
      </c>
      <c r="D22" s="41"/>
    </row>
    <row r="23">
      <c r="A23" s="38">
        <v>2.0</v>
      </c>
      <c r="B23" s="39" t="s">
        <v>72</v>
      </c>
      <c r="C23" s="44" t="s">
        <v>59</v>
      </c>
      <c r="D23" s="41"/>
    </row>
    <row r="24">
      <c r="A24" s="38">
        <v>3.0</v>
      </c>
      <c r="B24" s="39" t="s">
        <v>73</v>
      </c>
      <c r="C24" s="44" t="s">
        <v>59</v>
      </c>
      <c r="D24" s="41"/>
    </row>
    <row r="25">
      <c r="A25" s="38">
        <v>4.0</v>
      </c>
      <c r="B25" s="39" t="s">
        <v>74</v>
      </c>
      <c r="C25" s="44" t="s">
        <v>59</v>
      </c>
      <c r="D25" s="41"/>
    </row>
    <row r="26">
      <c r="A26" s="42">
        <v>5.0</v>
      </c>
      <c r="B26" s="43" t="s">
        <v>75</v>
      </c>
      <c r="C26" s="44" t="s">
        <v>59</v>
      </c>
      <c r="D26" s="54"/>
    </row>
    <row r="27">
      <c r="A27" s="45" t="s">
        <v>68</v>
      </c>
      <c r="C27" s="46">
        <f>COUNTA('LISTA DE COMPROBACION -CU 0-7'!$C$22:$C$26)</f>
        <v>5</v>
      </c>
      <c r="D27" s="46">
        <f>COUNTA('LISTA DE COMPROBACION -CU 0-7'!$D$22:$D$26)</f>
        <v>0</v>
      </c>
    </row>
    <row r="28">
      <c r="A28" s="45" t="s">
        <v>69</v>
      </c>
      <c r="C28" s="47">
        <f t="shared" ref="C28:D28" si="2">C27/5</f>
        <v>1</v>
      </c>
      <c r="D28" s="47">
        <f t="shared" si="2"/>
        <v>0</v>
      </c>
    </row>
    <row r="29">
      <c r="A29" s="45"/>
      <c r="B29" s="45"/>
      <c r="C29" s="47"/>
      <c r="D29" s="46"/>
    </row>
    <row r="30">
      <c r="A30" s="34" t="s">
        <v>76</v>
      </c>
    </row>
    <row r="31">
      <c r="A31" s="50" t="s">
        <v>54</v>
      </c>
      <c r="B31" s="51" t="s">
        <v>55</v>
      </c>
      <c r="C31" s="52" t="s">
        <v>56</v>
      </c>
      <c r="D31" s="53" t="s">
        <v>57</v>
      </c>
    </row>
    <row r="32">
      <c r="A32" s="38">
        <v>1.0</v>
      </c>
      <c r="B32" s="39" t="s">
        <v>77</v>
      </c>
      <c r="C32" s="44" t="s">
        <v>59</v>
      </c>
      <c r="D32" s="44"/>
    </row>
    <row r="33">
      <c r="A33" s="38">
        <v>2.0</v>
      </c>
      <c r="B33" s="39" t="s">
        <v>78</v>
      </c>
      <c r="C33" s="44" t="s">
        <v>59</v>
      </c>
      <c r="D33" s="44"/>
    </row>
    <row r="34">
      <c r="A34" s="42">
        <v>3.0</v>
      </c>
      <c r="B34" s="43" t="s">
        <v>79</v>
      </c>
      <c r="C34" s="44" t="s">
        <v>59</v>
      </c>
      <c r="D34" s="44"/>
    </row>
    <row r="35">
      <c r="A35" s="45" t="s">
        <v>68</v>
      </c>
      <c r="C35" s="23">
        <f>COUNTA('LISTA DE COMPROBACION -CU 0-7'!$C$32:$C$34)</f>
        <v>3</v>
      </c>
      <c r="D35" s="23">
        <f>COUNTA('LISTA DE COMPROBACION -CU 0-7'!$D$32:$D$34)</f>
        <v>0</v>
      </c>
    </row>
    <row r="36">
      <c r="A36" s="45" t="s">
        <v>69</v>
      </c>
      <c r="C36" s="47">
        <f t="shared" ref="C36:D36" si="3">C35/3</f>
        <v>1</v>
      </c>
      <c r="D36" s="47">
        <f t="shared" si="3"/>
        <v>0</v>
      </c>
    </row>
    <row r="37" ht="14.25" customHeight="1"/>
    <row r="38" ht="14.25" customHeight="1"/>
    <row r="39" ht="14.25" customHeight="1"/>
    <row r="40">
      <c r="A40" s="55" t="s">
        <v>80</v>
      </c>
    </row>
    <row r="41">
      <c r="B41" s="28" t="s">
        <v>81</v>
      </c>
      <c r="C41" s="56">
        <v>89.0</v>
      </c>
    </row>
    <row r="42">
      <c r="B42" s="28" t="s">
        <v>70</v>
      </c>
      <c r="C42" s="56">
        <v>100.0</v>
      </c>
    </row>
    <row r="43">
      <c r="B43" s="28" t="s">
        <v>76</v>
      </c>
      <c r="C43" s="46">
        <v>100.0</v>
      </c>
    </row>
    <row r="44" ht="14.25" customHeight="1">
      <c r="C44" s="46"/>
    </row>
    <row r="45" ht="14.25" customHeight="1">
      <c r="C45" s="46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57.29"/>
    <col customWidth="1" min="3" max="6" width="10.71"/>
  </cols>
  <sheetData>
    <row r="1">
      <c r="A1" s="57" t="s">
        <v>89</v>
      </c>
      <c r="B1" s="57" t="s">
        <v>90</v>
      </c>
      <c r="C1" s="57" t="s">
        <v>91</v>
      </c>
    </row>
    <row r="2">
      <c r="A2" s="58" t="s">
        <v>92</v>
      </c>
      <c r="B2" s="58" t="s">
        <v>93</v>
      </c>
      <c r="C2" s="58" t="s">
        <v>51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8" t="s">
        <v>92</v>
      </c>
      <c r="B2" s="58" t="s">
        <v>94</v>
      </c>
      <c r="C2" s="58" t="s">
        <v>51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95</v>
      </c>
      <c r="C2" s="60" t="s">
        <v>82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96</v>
      </c>
      <c r="C2" s="60" t="s">
        <v>82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97</v>
      </c>
      <c r="C2" s="60" t="s">
        <v>84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98</v>
      </c>
      <c r="C2" s="60" t="s">
        <v>82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99</v>
      </c>
      <c r="C2" s="60" t="s">
        <v>84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7" t="s">
        <v>89</v>
      </c>
      <c r="B1" s="57" t="s">
        <v>90</v>
      </c>
      <c r="C1" s="57" t="s">
        <v>91</v>
      </c>
    </row>
    <row r="2">
      <c r="A2" s="59" t="s">
        <v>92</v>
      </c>
      <c r="B2" s="60" t="s">
        <v>100</v>
      </c>
      <c r="C2" s="60" t="s">
        <v>84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