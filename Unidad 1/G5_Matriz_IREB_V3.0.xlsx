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triz Ckeck LIst" sheetId="1" r:id="rId4"/>
    <sheet state="visible" name="LISTA DE COMPROBACION - CU0-0" sheetId="2" r:id="rId5"/>
    <sheet state="visible" name="LISTA DE COMPROBACION - CU0-1" sheetId="3" r:id="rId6"/>
    <sheet state="visible" name="LISTA DE COMPROBACION - CU0-2" sheetId="4" r:id="rId7"/>
    <sheet state="visible" name="LISTA DE COMPROBACION - CU0-3" sheetId="5" r:id="rId8"/>
    <sheet state="visible" name="LISTA DE COMPROBACION - CU0-4" sheetId="6" r:id="rId9"/>
    <sheet state="visible" name="LISTA DE COMPROBACION - CU0-5" sheetId="7" r:id="rId10"/>
    <sheet state="visible" name="LISTA DE COMPROBACION - CU0-6" sheetId="8" r:id="rId11"/>
    <sheet state="visible" name="LISTA DE COMPROBACION - CU0-7" sheetId="9" r:id="rId12"/>
    <sheet state="visible" name="RECOMENDACIONES - CU 0-0" sheetId="10" r:id="rId13"/>
    <sheet state="visible" name="RECOMENDACIONES - CU 0-1" sheetId="11" r:id="rId14"/>
    <sheet state="visible" name="RECOMENDACIONES - CU 0-2" sheetId="12" r:id="rId15"/>
    <sheet state="visible" name="RECOMENDACIONES - CU 0-3" sheetId="13" r:id="rId16"/>
    <sheet state="visible" name="RECOMENDACIONES - CU 0-4" sheetId="14" r:id="rId17"/>
    <sheet state="visible" name="RECOMENDACIONES - CU 0-5" sheetId="15" r:id="rId18"/>
    <sheet state="visible" name="RECOMENDACIONES - CU 0-6" sheetId="16" r:id="rId19"/>
    <sheet state="visible" name="RECOMENDACIONES - CU 0-7" sheetId="17" r:id="rId20"/>
  </sheets>
  <definedNames/>
  <calcPr/>
  <extLst>
    <ext uri="GoogleSheetsCustomDataVersion2">
      <go:sheetsCustomData xmlns:go="http://customooxmlschemas.google.com/" r:id="rId21" roundtripDataChecksum="4HFJyOSz3jAdcZ9iJQ4YX1pFZjQAIzbJqmpDp/E2fj8="/>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H7">
      <text>
        <t xml:space="preserve">======
ID#AAACIY2wqQ8
jeny ruiz    (2026-10-01 14:49:28)
La información contenida en memoria se utiliza para actualizar los campos de la base de datos.</t>
      </text>
    </comment>
    <comment authorId="0" ref="K7">
      <text>
        <t xml:space="preserve">======
ID#AAACIY2wqTA
jeny ruiz    (2026-10-01 14:49:28)
Control del nivel de acuedo entre las partes Cliente y Desarrollador</t>
      </text>
    </comment>
    <comment authorId="0" ref="M9">
      <text>
        <t xml:space="preserve">======
ID#AAACIY2wqTw
jeny ruiz    (2026-10-01 14:49:28)
Es importante ingresar el archivo plano en formato excel para el cliente y el desarrollador</t>
      </text>
    </comment>
    <comment authorId="0" ref="M7">
      <text>
        <t xml:space="preserve">======
ID#AAACIY2wqT0
jeny ruiz    (2026-10-01 14:49:28)
Se guarda en un archivo Excel los registros que dieron un problema en la actualización.</t>
      </text>
    </comment>
    <comment authorId="0" ref="O9">
      <text>
        <t xml:space="preserve">======
ID#AAACIY2wqTg
jeny ruiz    (2026-10-01 14:49:28)
Es importante ingresar el archivo plano en formato excel para el cliente y el desarrollador</t>
      </text>
    </comment>
    <comment authorId="0" ref="N7">
      <text>
        <t xml:space="preserve">======
ID#AAACIY2wqUA
jeny ruiz    (2026-10-01 14:49:28)
Control del nivel de acuedo entre las partes Cliente y Desarrollador</t>
      </text>
    </comment>
    <comment authorId="0" ref="O7">
      <text>
        <t xml:space="preserve">======
ID#AAACIY2wqQg
jeny ruiz    (2026-10-01 14:49:28)
jeny ruiz:
Posterior a la actualización, se guardaran automáticamente el nombre de usuario, fecha, hora, registro antiguo, registro nuevo.</t>
      </text>
    </comment>
    <comment authorId="0" ref="C19">
      <text>
        <t xml:space="preserve">======
ID#AAACIY2wqTs
jeny ruiz    (2026-10-01 14:49:28)
Para todos los interesados dependiendo  de la fase del proyecto podrían estar involucrados  distintos implicados,(Glosario de tèrminos)</t>
      </text>
    </comment>
    <comment authorId="0" ref="C18">
      <text>
        <t xml:space="preserve">======
ID#AAACIY2wqQc
jeny ruiz    (2026-10-01 14:49:28)
Trata todos los asuntos relevantes</t>
      </text>
    </comment>
    <comment authorId="0" ref="C17">
      <text>
        <t xml:space="preserve">======
ID#AAACIY2wqTo
jeny ruiz    (2026-10-01 14:49:28)
El origen del requisito y sus relaciones con otros requisitos  están claros.</t>
      </text>
    </comment>
    <comment authorId="0" ref="C16">
      <text>
        <t xml:space="preserve">======
ID#AAACIY2wqRQ
jeny ruiz    (2026-10-01 14:49:28)
Puede ser implementado  y desarrollado en las condiciones actuales(tiempo, Presupuest,, orgtanizaciòn, ect)</t>
      </text>
    </comment>
    <comment authorId="0" ref="C15">
      <text>
        <t xml:space="preserve">======
ID#AAACIY2wqS4
jeny ruiz    (2026-10-01 14:49:28)
Su cumplimiento o no cumplimiento puede der probado con un esfuerzo razonable</t>
      </text>
    </comment>
    <comment authorId="0" ref="C14">
      <text>
        <t xml:space="preserve">======
ID#AAACIY2wqQI
jeny ruiz    (2026-10-01 14:49:28)
Sin contradicciones</t>
      </text>
    </comment>
    <comment authorId="0" ref="C13">
      <text>
        <t xml:space="preserve">======
ID#AAACIY2wqSY
jeny ruiz    (2026-10-01 14:49:28)
Refleja las espectativas  del implicado</t>
      </text>
    </comment>
    <comment authorId="0" ref="C12">
      <text>
        <t xml:space="preserve">======
ID#AAACIY2wqSo
jeny ruiz    (2026-10-01 14:49:28)
Toda nueva información  ha sido incorporada</t>
      </text>
    </comment>
    <comment authorId="0" ref="C11">
      <text>
        <t xml:space="preserve">======
ID#AAACIY2wqS8
jeny ruiz    (2026-10-01 14:49:28)
Todos los lectores comprenden de la misma manera, sólo una interpretación</t>
      </text>
    </comment>
    <comment authorId="0" ref="C10">
      <text>
        <t xml:space="preserve">======
ID#AAACIY2wqQ0
jeny ruiz    (2026-10-01 14:49:28)
Ponderado por importancia o prioridad</t>
      </text>
    </comment>
    <comment authorId="0" ref="C9">
      <text>
        <t xml:space="preserve">======
ID#AAACIY2wqTU
jeny ruiz    (2026-10-01 14:49:28)
Todos los interesados reconocen que el  requisito es correcto y relevante</t>
      </text>
    </comment>
    <comment authorId="0" ref="E7">
      <text>
        <t xml:space="preserve">======
ID#AAACIY2wqRc
jeny ruiz    (2026-10-01 14:49:28)
Control del nivel de acuedo entre las partes Cliente y Desarrollador</t>
      </text>
    </comment>
    <comment authorId="0" ref="H9">
      <text>
        <t xml:space="preserve">======
ID#AAACIY2wqSA
jeny ruiz    (2026-10-01 14:49:28)
Es importante ingresar el archivo plano en formato excel para el cliente y el desarrollador</t>
      </text>
    </comment>
  </commentList>
  <extLst>
    <ext uri="GoogleSheetsCustomDataVersion2">
      <go:sheetsCustomData xmlns:go="http://customooxmlschemas.google.com/" r:id="rId1" roundtripDataSignature="AMtx7mg9uAoUa+P1h9dpJ+3xLNzcYYT9V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ID#AAACIY2wqRE
ESPE    (2026-10-01 14:49:28)
verificable</t>
      </text>
    </comment>
    <comment authorId="0" ref="B15">
      <text>
        <t xml:space="preserve">======
ID#AAACIY2wqTE
ESPE    (2026-10-01 14:49:28)
NECESIDAD</t>
      </text>
    </comment>
    <comment authorId="0" ref="B14">
      <text>
        <t xml:space="preserve">======
ID#AAACIY2wqRg
ESPE    (2026-10-01 14:49:28)
CONSISTENCIA</t>
      </text>
    </comment>
    <comment authorId="0" ref="B13">
      <text>
        <t xml:space="preserve">======
ID#AAACIY2wqQQ
ESPE    (2026-10-01 14:49:28)
CORRECCION</t>
      </text>
    </comment>
    <comment authorId="0" ref="B12">
      <text>
        <t xml:space="preserve">======
ID#AAACIY2wqTc
ESPE    (2026-10-01 14:49:28)
TRAZABILIDAD</t>
      </text>
    </comment>
    <comment authorId="0" ref="B11">
      <text>
        <t xml:space="preserve">======
ID#AAACIY2wqRw
ESPE    (2026-10-01 14:49:28)
trazabilidad</t>
      </text>
    </comment>
    <comment authorId="0" ref="B10">
      <text>
        <t xml:space="preserve">======
ID#AAACIY2wqR4
ESPE    (2026-10-01 14:49:28)
TRAZABILIDAD</t>
      </text>
    </comment>
    <comment authorId="0" ref="B9">
      <text>
        <t xml:space="preserve">======
ID#AAACIY2wqSM
ESPE    (2026-10-01 14:49:28)
COMPLETITUD REQUISITO INDIVIDUAL</t>
      </text>
    </comment>
    <comment authorId="0" ref="B8">
      <text>
        <t xml:space="preserve">======
ID#AAACIY2wqSg
ESPE    (2026-10-01 14:49:28)
COMPLETITUD DOCUMENTO</t>
      </text>
    </comment>
  </commentList>
  <extLst>
    <ext uri="GoogleSheetsCustomDataVersion2">
      <go:sheetsCustomData xmlns:go="http://customooxmlschemas.google.com/" r:id="rId1" roundtripDataSignature="AMtx7mhbNBfG+1QOL986y3xqEXx0pVoMq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ID#AAACIY2wqR0
ESPE    (2026-10-01 14:49:28)
verificable</t>
      </text>
    </comment>
    <comment authorId="0" ref="B15">
      <text>
        <t xml:space="preserve">======
ID#AAACIY2wqQw
ESPE    (2026-10-01 14:49:28)
NECESIDAD</t>
      </text>
    </comment>
    <comment authorId="0" ref="B14">
      <text>
        <t xml:space="preserve">======
ID#AAACIY2wqT8
ESPE    (2026-10-01 14:49:28)
CONSISTENCIA</t>
      </text>
    </comment>
    <comment authorId="0" ref="B13">
      <text>
        <t xml:space="preserve">======
ID#AAACIY2wqTM
ESPE    (2026-10-01 14:49:28)
CORRECCION</t>
      </text>
    </comment>
    <comment authorId="0" ref="B12">
      <text>
        <t xml:space="preserve">======
ID#AAACIY2wqR8
ESPE    (2026-10-01 14:49:28)
TRAZABILIDAD</t>
      </text>
    </comment>
    <comment authorId="0" ref="B11">
      <text>
        <t xml:space="preserve">======
ID#AAACIY2wqQY
ESPE    (2026-10-01 14:49:28)
trazabilidad</t>
      </text>
    </comment>
    <comment authorId="0" ref="B10">
      <text>
        <t xml:space="preserve">======
ID#AAACIY2wqQE
ESPE    (2026-10-01 14:49:28)
TRAZABILIDAD</t>
      </text>
    </comment>
    <comment authorId="0" ref="B9">
      <text>
        <t xml:space="preserve">======
ID#AAACIY2wqQs
ESPE    (2026-10-01 14:49:28)
COMPLETITUD REQUISITO INDIVIDUAL</t>
      </text>
    </comment>
    <comment authorId="0" ref="B8">
      <text>
        <t xml:space="preserve">======
ID#AAACIY2wqQM
ESPE    (2026-10-01 14:49:28)
COMPLETITUD DOCUMENTO</t>
      </text>
    </comment>
  </commentList>
  <extLst>
    <ext uri="GoogleSheetsCustomDataVersion2">
      <go:sheetsCustomData xmlns:go="http://customooxmlschemas.google.com/" r:id="rId1" roundtripDataSignature="AMtx7mjyWM3WOB6eXo0DCUEMEweG0eWkY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ID#AAACIY2wqRI
ESPE    (2026-10-01 14:49:28)
verificable</t>
      </text>
    </comment>
    <comment authorId="0" ref="B15">
      <text>
        <t xml:space="preserve">======
ID#AAACIY2wqSU
ESPE    (2026-10-01 14:49:28)
NECESIDAD</t>
      </text>
    </comment>
    <comment authorId="0" ref="B14">
      <text>
        <t xml:space="preserve">======
ID#AAACIY2wqQ4
ESPE    (2026-10-01 14:49:28)
CONSISTENCIA</t>
      </text>
    </comment>
    <comment authorId="0" ref="B13">
      <text>
        <t xml:space="preserve">======
ID#AAACIY2wqRo
ESPE    (2026-10-01 14:49:28)
CORRECCION</t>
      </text>
    </comment>
    <comment authorId="0" ref="B12">
      <text>
        <t xml:space="preserve">======
ID#AAACIY2wqQo
ESPE    (2026-10-01 14:49:28)
TRAZABILIDAD</t>
      </text>
    </comment>
    <comment authorId="0" ref="B11">
      <text>
        <t xml:space="preserve">======
ID#AAACIY2wqTY
ESPE    (2026-10-01 14:49:28)
trazabilidad</t>
      </text>
    </comment>
    <comment authorId="0" ref="B10">
      <text>
        <t xml:space="preserve">======
ID#AAACIY2wqRk
ESPE    (2026-10-01 14:49:28)
TRAZABILIDAD</t>
      </text>
    </comment>
    <comment authorId="0" ref="B9">
      <text>
        <t xml:space="preserve">======
ID#AAACIY2wqTI
ESPE    (2026-10-01 14:49:28)
COMPLETITUD REQUISITO INDIVIDUAL</t>
      </text>
    </comment>
    <comment authorId="0" ref="B8">
      <text>
        <t xml:space="preserve">======
ID#AAACIY2wqQk
ESPE    (2026-10-01 14:49:28)
COMPLETITUD DOCUMENTO</t>
      </text>
    </comment>
  </commentList>
  <extLst>
    <ext uri="GoogleSheetsCustomDataVersion2">
      <go:sheetsCustomData xmlns:go="http://customooxmlschemas.google.com/" r:id="rId1" roundtripDataSignature="AMtx7mhDQaNfsAshPZ5LKet3tBBvD/Mz1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ID#AAACIY2wqTk
ESPE    (2026-10-01 14:49:28)
verificable</t>
      </text>
    </comment>
    <comment authorId="0" ref="B15">
      <text>
        <t xml:space="preserve">======
ID#AAACIY2wqRU
ESPE    (2026-10-01 14:49:28)
NECESIDAD</t>
      </text>
    </comment>
    <comment authorId="0" ref="B14">
      <text>
        <t xml:space="preserve">======
ID#AAACIY2wqRs
ESPE    (2026-10-01 14:49:28)
CONSISTENCIA</t>
      </text>
    </comment>
    <comment authorId="0" ref="B13">
      <text>
        <t xml:space="preserve">======
ID#AAACIY2wqSs
ESPE    (2026-10-01 14:49:28)
CORRECCION</t>
      </text>
    </comment>
    <comment authorId="0" ref="B12">
      <text>
        <t xml:space="preserve">======
ID#AAACIY2wqS0
ESPE    (2026-10-01 14:49:28)
TRAZABILIDAD</t>
      </text>
    </comment>
    <comment authorId="0" ref="B11">
      <text>
        <t xml:space="preserve">======
ID#AAACIY2wqSI
ESPE    (2026-10-01 14:49:28)
trazabilidad</t>
      </text>
    </comment>
    <comment authorId="0" ref="B10">
      <text>
        <t xml:space="preserve">======
ID#AAACIY2wqTQ
ESPE    (2026-10-01 14:49:28)
TRAZABILIDAD</t>
      </text>
    </comment>
    <comment authorId="0" ref="B9">
      <text>
        <t xml:space="preserve">======
ID#AAACIY2wqSQ
ESPE    (2026-10-01 14:49:28)
COMPLETITUD REQUISITO INDIVIDUAL</t>
      </text>
    </comment>
    <comment authorId="0" ref="B8">
      <text>
        <t xml:space="preserve">======
ID#AAACIY2wqQA
ESPE    (2026-10-01 14:49:28)
COMPLETITUD DOCUMENTO</t>
      </text>
    </comment>
  </commentList>
  <extLst>
    <ext uri="GoogleSheetsCustomDataVersion2">
      <go:sheetsCustomData xmlns:go="http://customooxmlschemas.google.com/" r:id="rId1" roundtripDataSignature="AMtx7mhRMju4UWRQKDSWds3bfoTortB/a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6">
      <text>
        <t xml:space="preserve">======
ID#AAACIY2wqRA
ESPE    (2026-10-01 14:49:28)
verificable</t>
      </text>
    </comment>
    <comment authorId="0" ref="B15">
      <text>
        <t xml:space="preserve">======
ID#AAACIY2wqRY
ESPE    (2026-10-01 14:49:28)
NECESIDAD</t>
      </text>
    </comment>
    <comment authorId="0" ref="B14">
      <text>
        <t xml:space="preserve">======
ID#AAACIY2wqQU
ESPE    (2026-10-01 14:49:28)
CONSISTENCIA</t>
      </text>
    </comment>
    <comment authorId="0" ref="B13">
      <text>
        <t xml:space="preserve">======
ID#AAACIY2wqT4
ESPE    (2026-10-01 14:49:28)
CORRECCION</t>
      </text>
    </comment>
    <comment authorId="0" ref="B12">
      <text>
        <t xml:space="preserve">======
ID#AAACIY2wqRM
ESPE    (2026-10-01 14:49:28)
TRAZABILIDAD</t>
      </text>
    </comment>
    <comment authorId="0" ref="B11">
      <text>
        <t xml:space="preserve">======
ID#AAACIY2wqSk
ESPE    (2026-10-01 14:49:28)
trazabilidad</t>
      </text>
    </comment>
    <comment authorId="0" ref="B10">
      <text>
        <t xml:space="preserve">======
ID#AAACIY2wqSc
ESPE    (2026-10-01 14:49:28)
TRAZABILIDAD</t>
      </text>
    </comment>
    <comment authorId="0" ref="B9">
      <text>
        <t xml:space="preserve">======
ID#AAACIY2wqSw
ESPE    (2026-10-01 14:49:28)
COMPLETITUD REQUISITO INDIVIDUAL</t>
      </text>
    </comment>
    <comment authorId="0" ref="B8">
      <text>
        <t xml:space="preserve">======
ID#AAACIY2wqSE
ESPE    (2026-10-01 14:49:28)
COMPLETITUD DOCUMENTO</t>
      </text>
    </comment>
  </commentList>
  <extLst>
    <ext uri="GoogleSheetsCustomDataVersion2">
      <go:sheetsCustomData xmlns:go="http://customooxmlschemas.google.com/" r:id="rId1" roundtripDataSignature="AMtx7mhrPHsQU+bWdYrQ3pYIOAW2ldmI+Q=="/>
    </ext>
  </extLst>
</comments>
</file>

<file path=xl/sharedStrings.xml><?xml version="1.0" encoding="utf-8"?>
<sst xmlns="http://schemas.openxmlformats.org/spreadsheetml/2006/main" count="817" uniqueCount="127">
  <si>
    <t>INTEGRANTES:</t>
  </si>
  <si>
    <t>Laínez Suárez Ricardo Andrés, Padilla Triviño Marco Adrian, Andino Martínez Nelson David</t>
  </si>
  <si>
    <t>MATRIZ PARA COMPROBACIÓN REQUERIMIENTOS DE CALIDAD DE PROYECTO ACADEMICO</t>
  </si>
  <si>
    <t>SISTEMA:</t>
  </si>
  <si>
    <t>SISTEMA DE GESTIÓN DE PEDIDOS DEL RESTAURANTE BOCATTO VALLEY</t>
  </si>
  <si>
    <t>Requerimientos  Funcionales</t>
  </si>
  <si>
    <t>Nº</t>
  </si>
  <si>
    <t>CRITERIOS DE CALIDAD (Documento/Requerimientos)</t>
  </si>
  <si>
    <t>Status
Nivel de Acuerdo</t>
  </si>
  <si>
    <t>CU 0-0 Autenticar en el sistema</t>
  </si>
  <si>
    <t>CU 0-1 Tomar pedido en mesa</t>
  </si>
  <si>
    <t>CU 0-2 Tomar pedido telefónico</t>
  </si>
  <si>
    <t>CU 0-3 Realizar pedido por QR</t>
  </si>
  <si>
    <t>CU 0-4 Gestionar preparación del pedido</t>
  </si>
  <si>
    <t>CU 0-5 Cobrar pedido en la caja</t>
  </si>
  <si>
    <t>CU 0-6 Consultar estado de pedido</t>
  </si>
  <si>
    <t>CU 0-7 Administrar configuración del sistema</t>
  </si>
  <si>
    <t>FECHA:</t>
  </si>
  <si>
    <t>AUTOR:</t>
  </si>
  <si>
    <t>Laínez Suárez Ricardo Andrés</t>
  </si>
  <si>
    <t>REQUERIMIENTOS EVALUADOS :</t>
  </si>
  <si>
    <t>Padilla Triviño Marco Adrian</t>
  </si>
  <si>
    <t>CONTENIDO</t>
  </si>
  <si>
    <t>Agreed</t>
  </si>
  <si>
    <t>No.</t>
  </si>
  <si>
    <t>OK</t>
  </si>
  <si>
    <t>Pregunta</t>
  </si>
  <si>
    <t>1. Videoconferencia de la entrevista
2. Minuta de la entrevista
3. Aceptación por videoconferencia</t>
  </si>
  <si>
    <t>SI</t>
  </si>
  <si>
    <t xml:space="preserve">NO </t>
  </si>
  <si>
    <t>1. Videoconferencia y minuta de la entrevista con el propietario del restaurante.
2. Acta de la sesión de brainstorming con el personal operativo.
3. Video de aceptación en el que el cliente expresa su conformidad con la ERS final.</t>
  </si>
  <si>
    <t>Todos los requerimientos relevantes se han documentado?</t>
  </si>
  <si>
    <t>Ranked</t>
  </si>
  <si>
    <t>X</t>
  </si>
  <si>
    <t>1. En la descripción del caso de Uso se especifica la prioridad Alta</t>
  </si>
  <si>
    <t>1. RF-03 tiene prioridad Alta/Esencial.
2. El CU 0-2 es de tipo primario y esencial.</t>
  </si>
  <si>
    <t>1. RF-04 tiene prioridad Alta/Esencial.
2. El CU 0-3 es de tipo primario y esencial.</t>
  </si>
  <si>
    <t>Se han implementado las funciones requeridas?</t>
  </si>
  <si>
    <t>1. RF-06 tiene prioridad Alta/Esencial.
2. El CU 0-5 es de tipo primario y esencial.</t>
  </si>
  <si>
    <t>Unambiguos</t>
  </si>
  <si>
    <t xml:space="preserve"> Existe algún mecanismo que permita seguir el impacto de dicho requerimiento a lo largo del resto de las actividades del ciclo productivo.?</t>
  </si>
  <si>
    <t>El origen de cada requerimento individual está claro ?</t>
  </si>
  <si>
    <t xml:space="preserve">1.  Redacción en lenguaje claro.                                                                               2. El tutor y el equipo interpretan de igual manera el caso de uso </t>
  </si>
  <si>
    <t>Que tan facil es devolverse a los requerimientos?</t>
  </si>
  <si>
    <t>NOK</t>
  </si>
  <si>
    <t>1. El CU 0-2 indica que el operador registra "los datos necesarios para la entrega o retiro (según aplique)" y el RF-03 habla de "datos básicos del cliente", sin precisar cuáles son.
2. El resto de la redacción (productos, cantidades, observaciones, estado "pendiente") es claro.</t>
  </si>
  <si>
    <t>1. Redacción en lenguaje claro en el CU 0-3 y en el RF-04.
2. Términos como "Código QR" y "Menú digital" están definidos con ejemplos en el glosario.</t>
  </si>
  <si>
    <t xml:space="preserve"> Los requerimientos reflejan las necesidades y deseos del cliente?</t>
  </si>
  <si>
    <t>1. Redacción en lenguaje claro en el CU 0-5 y en el RF-06: búsqueda por mesa, verificación del total y método de pago (efectivo o digital/transferencia).
2. El tutor y el equipo interpretan de igual manera el caso de uso.</t>
  </si>
  <si>
    <t>No hay contradicciones entre los requerimientos?</t>
  </si>
  <si>
    <t>Valid and up-to date</t>
  </si>
  <si>
    <t>El requerimiento que se esta especificando contribuye a alcanzar un objetivo definido ?</t>
  </si>
  <si>
    <t>1. No se han incorporado los últimos cambios pedidos luego del feedback realizado por el cliente</t>
  </si>
  <si>
    <t>x</t>
  </si>
  <si>
    <t>Existe un proceso acotado (en plazo y presupuesto) que permita determinar que el sistema construido satisface lo descrito en el propio requerimiento?</t>
  </si>
  <si>
    <t>1. Corresponde a la versión final de la ERS (Rev. 1), aceptada por el cliente.
2. El alcance (sección 1.2) es coherente con la Propuesta 1 y con los casos de uso.</t>
  </si>
  <si>
    <t>Correct</t>
  </si>
  <si>
    <t>SUMATORIA:</t>
  </si>
  <si>
    <t>1. Está alineado con los objetivos del sistema.                                                                                                                                                                                                                        2. Refleja lo que realmente necesita el cliente.</t>
  </si>
  <si>
    <t>1. Está alineado con el objetivo de evitar errores al anotar las órdenes recibidas por teléfono.
2. Responde al alcance "Registro de pedidos telefónicos" (sección 1.2) y al rol de operador de llamadas (sección 2.3).</t>
  </si>
  <si>
    <t>1. Está alineado con el objetivo de automatizar el flujo de información desde la toma del pedido.
2. Responde al alcance "Registro de pedidos mediante QR" (sección 1.2).</t>
  </si>
  <si>
    <t>1. Está alineado con el problema de errores en el cobro por acumulación de pedidos.
2. Responde al alcance "Cobro y registro de pagos en la caja" (sección 1.2) sin integrar un sistema de pagos externo (sección 2.1).</t>
  </si>
  <si>
    <t>Consisten</t>
  </si>
  <si>
    <t xml:space="preserve">1. Documentación basada en modelos: Diagrama de Casos de Uso
2. Usa términos definidos previamente.                                             </t>
  </si>
  <si>
    <t>1. El CU 0-5 y el RF-06 solo permiten buscar el pedido por número de mesa, mientras que un pedido telefónico no tiene mesa asociada.
2. Usa términos del glosario y documentación basada en casos de uso.</t>
  </si>
  <si>
    <t>1. Documentación basada en modelos: casos de uso (sección 2.2).
2. Usa términos del glosario de forma uniforme y el estado inicial "pendiente" coincide con los demás canales de pedido.</t>
  </si>
  <si>
    <t>1. El CU 0-5 indica que el sistema habilita "listo para entregar" después del pago, mientras que el CU 0-4 y el RF-05 asignan ese estado al cocinero.
2. El estado "pagado" no aparece en la secuencia de estados del RF-05 ni del CU 0-6.
3. La búsqueda solo por mesa no cubre los pedidos telefónicos (CU 0-2).</t>
  </si>
  <si>
    <t>Verifiable</t>
  </si>
  <si>
    <t>1. Requisito Medible                                                           2.  Falta Casos de Prueba</t>
  </si>
  <si>
    <t>1. Requisito medible: pedido con al menos un producto, datos del cliente registrados y estado inicial "pendiente".
2. Faltan casos de prueba.</t>
  </si>
  <si>
    <t>1. Requisito medible: QR asociado a una mesa, pedido con al menos un producto y estado inicial "pendiente".
2. Faltan casos de prueba.</t>
  </si>
  <si>
    <t>1. Requisito medible: el cobro solo se permite si el pedido está listo y el pedido queda marcado como "pagado".
2. Faltan casos de prueba.</t>
  </si>
  <si>
    <t>Realizable</t>
  </si>
  <si>
    <t>1. Funcionalidad tomada en cuenta dentro de la estimación del costo del proyecto (900$)
2. No se ha desarrollado</t>
  </si>
  <si>
    <t>1. Funcionalidad considerada en la estimación del proyecto (144 horas por integrante, costeo por hora según el rol).
2. Tecnologías y hardware mínimo definidos en la ERS (secciones 3.1.6 a 3.1.11): React + Vite, Node.js con Express, servicios REST con JSON.
3. Aún no se ha desarrollado.</t>
  </si>
  <si>
    <t>Traceable</t>
  </si>
  <si>
    <t>1. Es claro el origen del requisito y sus relaciones con otros requisitos (matriz de trazabilidad cliente/casos de uso y casos de uso/casos de uso) 
2. Cuenta con un identificador único</t>
  </si>
  <si>
    <t>1. RF-03 indica su fuente: CU 0-2 y CU 2.1 Registrar pedido telefónico.
2. Cuenta con código único (RF-03 / CU 0-2) y se relaciona con 3.2.5 y 3.2.6 (Tomar y Registrar pedido telefónico) y con el envío a cocina.</t>
  </si>
  <si>
    <t>1. RF-04 indica su fuente: CU 0-3, CU 3.1, CU 3.2 y CU 3.3.
2. Se relaciona con 3.2.7 a 3.2.10 (Ver menú digital, Registrar pedido por QR y Agregar observaciones) y con RF-08 (gestión de QR y menú).</t>
  </si>
  <si>
    <t>1. RF-06 indica su fuente: CU 0-5, CU 5.1 y CU 5.2.
2. Se relaciona con 3.2.14 a 3.2.18 (Buscar pedido por mesa, Cobrar pedido, Marcar pedido como pagado y Habilitar pedido para entrega).</t>
  </si>
  <si>
    <t>Complete</t>
  </si>
  <si>
    <t>PORCENTAJE :</t>
  </si>
  <si>
    <t>1. Contiene toda la información necesaria (entradas, salidas, precondiciones, postcondiciones) para entender y diseñar la función. 
2. Describe completamente la funcionalidad esperada.</t>
  </si>
  <si>
    <t>1. Contiene actor, entradas (productos, cantidades, datos de entrega o retiro, observaciones), validación y salida (pedido con estado "pendiente" enviado a cocina).
2. Describe completamente la funcionalidad esperada del registro telefónico.</t>
  </si>
  <si>
    <t>1. Contiene actor, escaneo del QR, identificación de la mesa, menú con precios y promociones, observaciones opcionales y registro con estado "pendiente".
2. Restricción asociada definida: el cliente requiere un dispositivo con cámara y navegador (sección 2.4).</t>
  </si>
  <si>
    <t>1. Contiene actor, entradas (número de mesa, método de pago), validación (pedido listo) y salidas (pedido "pagado" y habilitado para entrega).
2. Describe completamente la funcionalidad esperada del cobro.</t>
  </si>
  <si>
    <t>Understandability</t>
  </si>
  <si>
    <t>1. Se involucra al cliente
2. Existe glosario de términos</t>
  </si>
  <si>
    <t>1. Se involucró al cliente y al personal operativo en la elicitación.
2. Uso de términos respaldado por el glosario de definiciones, acrónimos y abreviaturas (sección 1.4).</t>
  </si>
  <si>
    <t>DOCUMENTACIÓN</t>
  </si>
  <si>
    <t>Aplica un estandar para la documetación de requerimiento?</t>
  </si>
  <si>
    <t>Cumple con la estructura definida por el estandar?</t>
  </si>
  <si>
    <t>Utiliza un Glosario de términos normalizado?</t>
  </si>
  <si>
    <t>Los requerimientos Funcionales estan sujetos a una única interpretación?</t>
  </si>
  <si>
    <t>El modelo aplicado cumple con la sintaxis?</t>
  </si>
  <si>
    <t>NIVEL DE ACUERDO</t>
  </si>
  <si>
    <t>Todos los requerimientos  han sido acordados con todos los interesados?</t>
  </si>
  <si>
    <t>Todos los requerimientos  modificados han sido acordados por todos los implicados?</t>
  </si>
  <si>
    <t>Han sido resueltos todos los conflictos conocidos respectos de los requerimientos?</t>
  </si>
  <si>
    <t>RESUMEN</t>
  </si>
  <si>
    <t xml:space="preserve">CONTENIDO </t>
  </si>
  <si>
    <t>Andino Martínez Nelson David</t>
  </si>
  <si>
    <t>PREGUNTA</t>
  </si>
  <si>
    <t>RECOMENDACIÓN</t>
  </si>
  <si>
    <t>RESPONSABLE</t>
  </si>
  <si>
    <t>¿Se han validado y aprobado formalmente todos los entregables de la entrevista (videoconferencia, minuta, acta de aceptación)?</t>
  </si>
  <si>
    <t>Se ha validado todos lo entregables de las entrevista, sin embargo se recomienda que todos los implicados, mas en la minuta, hayan podido firmar.</t>
  </si>
  <si>
    <t>¿Se han definido criterios de aceptación y casos de prueba
 que permitan medir objetivamente el cumplimiento del 
requisito?</t>
  </si>
  <si>
    <t xml:space="preserve">Apesar de que existen criterios de calidad, tanto como criterios de aceptacion y casos de prueba no se muestran como un proceso de la gestin de requerimientos, se recomienda implementar esto para mejorar el cumplimiento del requisito </t>
  </si>
  <si>
    <t>Los entregables de las entrevistas fueron validados y aprobados por la lider del proyecto, sin embargo se recomienda notificar a la persona encargada, mesero, de lo aprobado del caso de uso</t>
  </si>
  <si>
    <t>¿Existe un proceso acotado (en plazo y presupuesto) que permita determinar que el sistema construido satisface lo descrito en el requisito?</t>
  </si>
  <si>
    <t>¿Los requerimientos funcionales están sujetos a una única interpretación?</t>
  </si>
  <si>
    <t>Elaborar en el plan de pruebas tres casos para el RF-04: QR no asociado a una mesa, intento de confirmar un pedido vacío y pedido confirmado con estado "pendiente". No requiere modificar la ERS.</t>
  </si>
  <si>
    <t>Definir en la fase de diseño, mediante el formulario de registro, los datos mínimos del pedido telefónico (nombre, teléfono y dirección o modalidad de retiro), tomando como base el CU 0-2 y el RF-03, sin modificar la ERS.</t>
  </si>
  <si>
    <t>¿Se utilizan los términos de forma uniforme a lo largo del documento?</t>
  </si>
  <si>
    <t>¿No hay contradicciones entre los requerimientos?</t>
  </si>
  <si>
    <t>Usar en los artefactos de diseño el nombre "Realizar pedido por QR" del CU 0-3, ya que en la sección 3.2.7 aparece como "Gestionar pedido por QR", para evitar confusiones al exponer o diseñar.</t>
  </si>
  <si>
    <t>Incluir en el diseño una búsqueda alternativa al número de mesa (por ID del pedido o teléfono del cliente), para que caja pueda cobrar los pedidos telefónicos que el CU 0-5 no contempla.</t>
  </si>
  <si>
    <t>Elaborar en el plan de pruebas tres casos para el RF-03: pedido sin productos, pedido con datos de entrega completos y pedido registrado con estado "pendiente" visible en cocina.</t>
  </si>
  <si>
    <t>Tomar como referencia en el diseño de la pantalla de cocina la secuencia cerrada de estados del RF-05 (pendiente, en preparación, listo y listo para entregar) y no la lista abierta con "por ejemplo" del CU 0-4.</t>
  </si>
  <si>
    <t>Acordar dentro del equipo que el estado "listo para entregar" se habilita después del pago, como indica el CU 0-5, y dejarlo anotado en el diagrama de estados del pedido durante la fase de diseño.</t>
  </si>
  <si>
    <t>Elaborar en la fase de pruebas casos de prueba para el RF-05 que confirmen que no se puede saltar un estado y que cada cambio queda visible para caja y cliente.</t>
  </si>
  <si>
    <t>Modelar en PlantUML el diagrama de estados del pedido con la secuencia completa (pendiente, en preparación, listo, pagado, listo para entregar) y fijar que "listo para entregar" se habilita tras el pago, alineando el CU 0-4, el CU 0-5 y el RF-05 en la fase de diseño.</t>
  </si>
  <si>
    <t>Elaborar en el plan de pruebas casos para el RF-06: intento de cobrar un pedido que no está listo, cobro en efectivo, cobro digital y verificación del estado "pagado".</t>
  </si>
  <si>
    <t xml:space="preserve">Alinear el identificador de mesa y el código QR en el CU 0-6 con el glosario de términos normalizado para evitar conflictos de lectura en los dispositivos móviles de los clientes.   </t>
  </si>
  <si>
    <t xml:space="preserve">Implementar escenarios de prueba y validación orientados a comprobar que la parametrización de precios, menús y códigos QR desde el panel de administración impacte de forma inmediata en el sistema del restaurante.   </t>
  </si>
  <si>
    <t xml:space="preserve">Delimitar claramente en el diseño de roles que el CU 0-7 pertenece exclusivamente al Administrador, previniendo solapamientos con las funciones del cajero o del operador de llamadas.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</si>
</sst>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mm\-yy"/>
  </numFmts>
  <fonts count="17">
    <font>
      <sz val="11.0"/>
      <color theme="1"/>
      <name val="Calibri"/>
      <scheme val="minor"/>
    </font>
    <font>
      <sz val="8.0"/>
      <color theme="1"/>
      <name val="Arial"/>
    </font>
    <font>
      <b/>
      <sz val="18.0"/>
      <color theme="1"/>
      <name val="Calibri"/>
    </font>
    <font>
      <b/>
      <sz val="18.0"/>
      <color rgb="FF1F497D"/>
      <name val="Calibri"/>
    </font>
    <font>
      <b/>
      <sz val="18.0"/>
      <color theme="1"/>
      <name val="Arial"/>
    </font>
    <font/>
    <font>
      <b/>
      <sz val="12.0"/>
      <color theme="1"/>
      <name val="Arial"/>
    </font>
    <font>
      <b/>
      <sz val="11.0"/>
      <color theme="1"/>
      <name val="Arial"/>
    </font>
    <font>
      <sz val="11.0"/>
      <color theme="1"/>
      <name val="Calibri"/>
    </font>
    <font>
      <b/>
      <sz val="14.0"/>
      <color theme="1"/>
      <name val="Calibri"/>
    </font>
    <font>
      <sz val="14.0"/>
      <color theme="1"/>
      <name val="Calibri"/>
    </font>
    <font>
      <b/>
      <sz val="16.0"/>
      <color theme="0"/>
      <name val="Calibri"/>
    </font>
    <font>
      <b/>
      <sz val="18.0"/>
      <color rgb="FFFA7D00"/>
      <name val="Calibri"/>
    </font>
    <font>
      <b/>
      <sz val="16.0"/>
      <color theme="1"/>
      <name val="Calibri"/>
    </font>
    <font>
      <b/>
      <sz val="12.0"/>
      <color rgb="FFFFFFFF"/>
      <name val="Calibri"/>
    </font>
    <font>
      <color theme="1"/>
      <name val="Calibri"/>
      <scheme val="minor"/>
    </font>
    <font>
      <b/>
      <sz val="11.0"/>
      <color theme="0"/>
      <name val="Calibri"/>
    </font>
  </fonts>
  <fills count="8">
    <fill>
      <patternFill patternType="none"/>
    </fill>
    <fill>
      <patternFill patternType="lightGray"/>
    </fill>
    <fill>
      <patternFill patternType="solid">
        <fgColor rgb="FFD8D8D8"/>
        <bgColor rgb="FFD8D8D8"/>
      </patternFill>
    </fill>
    <fill>
      <patternFill patternType="solid">
        <fgColor theme="4"/>
        <bgColor theme="4"/>
      </patternFill>
    </fill>
    <fill>
      <patternFill patternType="solid">
        <fgColor rgb="FFB8CCE4"/>
        <bgColor rgb="FFB8CCE4"/>
      </patternFill>
    </fill>
    <fill>
      <patternFill patternType="solid">
        <fgColor rgb="FF92D050"/>
        <bgColor rgb="FF92D050"/>
      </patternFill>
    </fill>
    <fill>
      <patternFill patternType="solid">
        <fgColor rgb="FFFF0000"/>
        <bgColor rgb="FFFF0000"/>
      </patternFill>
    </fill>
    <fill>
      <patternFill patternType="solid">
        <fgColor rgb="FFC2D69B"/>
        <bgColor rgb="FFC2D69B"/>
      </patternFill>
    </fill>
  </fills>
  <borders count="17">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right style="thin">
        <color rgb="FF000000"/>
      </right>
      <bottom style="thin">
        <color rgb="FF000000"/>
      </bottom>
    </border>
    <border>
      <left style="thin">
        <color rgb="FF000000"/>
      </left>
      <right/>
      <top style="thin">
        <color rgb="FF000000"/>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60">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horizontal="center" shrinkToFit="0" vertical="center" wrapText="1"/>
    </xf>
    <xf borderId="0" fillId="0" fontId="2" numFmtId="0" xfId="0" applyFont="1"/>
    <xf borderId="0" fillId="0" fontId="3" numFmtId="0" xfId="0" applyAlignment="1" applyFont="1">
      <alignment horizontal="center" shrinkToFit="0" vertical="center" wrapText="1"/>
    </xf>
    <xf borderId="0" fillId="0" fontId="2" numFmtId="0" xfId="0" applyAlignment="1" applyFont="1">
      <alignment horizontal="left" shrinkToFit="0" vertical="center" wrapText="1"/>
    </xf>
    <xf borderId="1" fillId="2" fontId="4" numFmtId="0" xfId="0" applyAlignment="1" applyBorder="1" applyFill="1" applyFont="1">
      <alignment horizontal="center" vertical="center"/>
    </xf>
    <xf borderId="2" fillId="0" fontId="5" numFmtId="0" xfId="0" applyBorder="1" applyFont="1"/>
    <xf borderId="3" fillId="0" fontId="5" numFmtId="0" xfId="0" applyBorder="1" applyFont="1"/>
    <xf borderId="4" fillId="2" fontId="6" numFmtId="0" xfId="0" applyAlignment="1" applyBorder="1" applyFill="1" applyFont="1">
      <alignment horizontal="center" shrinkToFit="0" vertical="center" wrapText="1"/>
    </xf>
    <xf borderId="5" fillId="2" fontId="6" numFmtId="0" xfId="0" applyAlignment="1" applyBorder="1" applyFill="1" applyFont="1">
      <alignment horizontal="center" shrinkToFit="0" vertical="center" wrapText="1"/>
    </xf>
    <xf borderId="6" fillId="0" fontId="5" numFmtId="0" xfId="0" applyBorder="1" applyFont="1"/>
    <xf borderId="4" fillId="2" fontId="7" numFmtId="0" xfId="0" applyAlignment="1" applyBorder="1" applyFill="1" applyFont="1">
      <alignment horizontal="center" shrinkToFit="0" vertical="center" wrapText="1"/>
    </xf>
    <xf borderId="7" fillId="0" fontId="8" numFmtId="0" xfId="0" applyBorder="1" applyFont="1"/>
    <xf borderId="0" fillId="0" fontId="8" numFmtId="0" xfId="0" applyAlignment="1" applyFont="1">
      <alignment vertical="top"/>
    </xf>
    <xf borderId="0" fillId="0" fontId="9" numFmtId="0" xfId="0" applyAlignment="1" applyFont="1">
      <alignment horizontal="left" vertical="top"/>
    </xf>
    <xf borderId="0" fillId="0" fontId="10" numFmtId="0" xfId="0" applyAlignment="1" applyFont="1">
      <alignment horizontal="left" shrinkToFit="0" vertical="top" wrapText="1"/>
    </xf>
    <xf borderId="8" fillId="0" fontId="5" numFmtId="0" xfId="0" applyBorder="1" applyFont="1"/>
    <xf borderId="9" fillId="0" fontId="5" numFmtId="0" xfId="0" applyBorder="1" applyFont="1"/>
    <xf borderId="10" fillId="0" fontId="5" numFmtId="0" xfId="0" applyBorder="1" applyFont="1"/>
    <xf borderId="0" fillId="0" fontId="9" numFmtId="0" xfId="0" applyAlignment="1" applyFont="1">
      <alignment horizontal="left"/>
    </xf>
    <xf borderId="0" fillId="0" fontId="10" numFmtId="164" xfId="0" applyAlignment="1" applyFont="1" applyNumberFormat="1">
      <alignment horizontal="left" shrinkToFit="0" wrapText="1"/>
    </xf>
    <xf borderId="0" fillId="0" fontId="10" numFmtId="0" xfId="0" applyAlignment="1" applyFont="1">
      <alignment horizontal="left" shrinkToFit="0" wrapText="1"/>
    </xf>
    <xf borderId="11" fillId="3" fontId="11" numFmtId="0" xfId="0" applyAlignment="1" applyBorder="1" applyFill="1" applyFont="1">
      <alignment horizontal="center" shrinkToFit="0" vertical="center" wrapText="1"/>
    </xf>
    <xf borderId="0" fillId="0" fontId="12" numFmtId="0" xfId="0" applyAlignment="1" applyFont="1">
      <alignment horizontal="center" vertical="center"/>
    </xf>
    <xf borderId="1" fillId="3" fontId="11" numFmtId="0" xfId="0" applyAlignment="1" applyBorder="1" applyFill="1" applyFont="1">
      <alignment horizontal="center" shrinkToFit="0" vertical="center" wrapText="1"/>
    </xf>
    <xf borderId="12" fillId="4" fontId="10" numFmtId="0" xfId="0" applyAlignment="1" applyBorder="1" applyFill="1" applyFont="1">
      <alignment horizontal="center" vertical="center"/>
    </xf>
    <xf borderId="7" fillId="5" fontId="13" numFmtId="0" xfId="0" applyAlignment="1" applyBorder="1" applyFill="1" applyFont="1">
      <alignment horizontal="center" shrinkToFit="0" vertical="center" wrapText="1"/>
    </xf>
    <xf borderId="13" fillId="4" fontId="10" numFmtId="0" xfId="0" applyAlignment="1" applyBorder="1" applyFill="1" applyFont="1">
      <alignment horizontal="center" vertical="center"/>
    </xf>
    <xf borderId="12" fillId="3" fontId="14" numFmtId="0" xfId="0" applyAlignment="1" applyBorder="1" applyFill="1" applyFont="1">
      <alignment shrinkToFit="0" wrapText="1"/>
    </xf>
    <xf borderId="14" fillId="4" fontId="10" numFmtId="0" xfId="0" applyAlignment="1" applyBorder="1" applyFill="1" applyFont="1">
      <alignment horizontal="center" vertical="center"/>
    </xf>
    <xf borderId="0" fillId="0" fontId="15" numFmtId="0" xfId="0" applyFont="1"/>
    <xf borderId="3" fillId="0" fontId="8" numFmtId="0" xfId="0" applyAlignment="1" applyBorder="1" applyFont="1">
      <alignment horizontal="center" vertical="center"/>
    </xf>
    <xf borderId="7" fillId="0" fontId="8" numFmtId="0" xfId="0" applyAlignment="1" applyBorder="1" applyFont="1">
      <alignment shrinkToFit="0" vertical="center" wrapText="1"/>
    </xf>
    <xf borderId="7" fillId="0" fontId="8" numFmtId="0" xfId="0" applyAlignment="1" applyBorder="1" applyFont="1">
      <alignment horizontal="center" vertical="center"/>
    </xf>
    <xf borderId="7" fillId="3" fontId="14" numFmtId="0" xfId="0" applyAlignment="1" applyBorder="1" applyFill="1" applyFont="1">
      <alignment shrinkToFit="0" wrapText="1"/>
    </xf>
    <xf borderId="1" fillId="0" fontId="8" numFmtId="0" xfId="0" applyAlignment="1" applyBorder="1" applyFont="1">
      <alignment horizontal="center" vertical="center"/>
    </xf>
    <xf borderId="6" fillId="0" fontId="8" numFmtId="0" xfId="0" applyAlignment="1" applyBorder="1" applyFont="1">
      <alignment horizontal="center" vertical="center"/>
    </xf>
    <xf borderId="7" fillId="6" fontId="13" numFmtId="0" xfId="0" applyAlignment="1" applyBorder="1" applyFill="1" applyFont="1">
      <alignment horizontal="center" shrinkToFit="0" vertical="center" wrapText="1"/>
    </xf>
    <xf borderId="4" fillId="0" fontId="8" numFmtId="0" xfId="0" applyAlignment="1" applyBorder="1" applyFont="1">
      <alignment shrinkToFit="0" vertical="center" wrapText="1"/>
    </xf>
    <xf borderId="4" fillId="0" fontId="8" numFmtId="0" xfId="0" applyAlignment="1" applyBorder="1" applyFont="1">
      <alignment horizontal="center" vertical="center"/>
    </xf>
    <xf borderId="0" fillId="0" fontId="9" numFmtId="0" xfId="0" applyAlignment="1" applyFont="1">
      <alignment horizontal="left" vertical="center"/>
    </xf>
    <xf borderId="15" fillId="3" fontId="14" numFmtId="0" xfId="0" applyAlignment="1" applyBorder="1" applyFill="1" applyFont="1">
      <alignment shrinkToFit="0" wrapText="1"/>
    </xf>
    <xf borderId="0" fillId="0" fontId="8" numFmtId="9" xfId="0" applyFont="1" applyNumberFormat="1"/>
    <xf borderId="16" fillId="0" fontId="12" numFmtId="0" xfId="0" applyAlignment="1" applyBorder="1" applyFont="1">
      <alignment horizontal="center" vertical="center"/>
    </xf>
    <xf borderId="16" fillId="0" fontId="5" numFmtId="0" xfId="0" applyBorder="1" applyFont="1"/>
    <xf borderId="10" fillId="0" fontId="9" numFmtId="0" xfId="0" applyAlignment="1" applyBorder="1" applyFont="1">
      <alignment horizontal="center" vertical="center"/>
    </xf>
    <xf borderId="8" fillId="0" fontId="9" numFmtId="0" xfId="0" applyAlignment="1" applyBorder="1" applyFont="1">
      <alignment horizontal="center" vertical="center"/>
    </xf>
    <xf borderId="8" fillId="0" fontId="13" numFmtId="0" xfId="0" applyAlignment="1" applyBorder="1" applyFont="1">
      <alignment horizontal="center" vertical="center"/>
    </xf>
    <xf borderId="9" fillId="0" fontId="13" numFmtId="0" xfId="0" applyAlignment="1" applyBorder="1" applyFont="1">
      <alignment horizontal="center" vertical="center"/>
    </xf>
    <xf borderId="5" fillId="0" fontId="8" numFmtId="0" xfId="0" applyAlignment="1" applyBorder="1" applyFont="1">
      <alignment horizontal="center" vertical="center"/>
    </xf>
    <xf borderId="0" fillId="0" fontId="9" numFmtId="0" xfId="0" applyAlignment="1" applyFont="1">
      <alignment horizontal="center"/>
    </xf>
    <xf borderId="0" fillId="0" fontId="10" numFmtId="164" xfId="0" applyAlignment="1" applyFont="1" applyNumberFormat="1">
      <alignment horizontal="left" readingOrder="0" shrinkToFit="0" wrapText="1"/>
    </xf>
    <xf borderId="0" fillId="0" fontId="10" numFmtId="0" xfId="0" applyAlignment="1" applyFont="1">
      <alignment horizontal="left" readingOrder="0" shrinkToFit="0" wrapText="1"/>
    </xf>
    <xf borderId="7" fillId="7" fontId="16" numFmtId="0" xfId="0" applyAlignment="1" applyBorder="1" applyFill="1" applyFont="1">
      <alignment horizontal="center" vertical="center"/>
    </xf>
    <xf borderId="7" fillId="0" fontId="8" numFmtId="0" xfId="0" applyAlignment="1" applyBorder="1" applyFont="1">
      <alignment shrinkToFit="0" wrapText="1"/>
    </xf>
    <xf borderId="7" fillId="0" fontId="8" numFmtId="0" xfId="0" applyAlignment="1" applyBorder="1" applyFont="1">
      <alignment horizontal="center" shrinkToFit="0" vertical="top" wrapText="1"/>
    </xf>
    <xf borderId="7" fillId="0" fontId="8" numFmtId="0" xfId="0" applyAlignment="1" applyBorder="1" applyFont="1">
      <alignment shrinkToFit="0" vertical="top" wrapText="1"/>
    </xf>
    <xf borderId="7" fillId="0" fontId="8" numFmtId="0" xfId="0" applyAlignment="1" applyBorder="1" applyFont="1">
      <alignment horizontal="center" readingOrder="0" shrinkToFit="0" vertical="top" wrapText="1"/>
    </xf>
    <xf borderId="7" fillId="0" fontId="8" numFmtId="0" xfId="0" applyAlignment="1" applyBorder="1" applyFont="1">
      <alignment readingOrder="0" shrinkToFit="0" vertical="top" wrapText="1"/>
    </xf>
  </cellXfs>
  <cellStyles count="1">
    <cellStyle xfId="0" name="Normal" builtinId="0"/>
  </cellStyles>
  <dxfs count="5">
    <dxf>
      <font/>
      <fill>
        <patternFill patternType="solid">
          <fgColor rgb="FFFFC7CE"/>
          <bgColor rgb="FFFFC7CE"/>
        </patternFill>
      </fill>
      <border/>
    </dxf>
    <dxf>
      <font>
        <color rgb="FF9C0006"/>
      </font>
      <fill>
        <patternFill patternType="solid">
          <fgColor rgb="FFFFC7CE"/>
          <bgColor rgb="FFFFC7CE"/>
        </patternFill>
      </fill>
      <border/>
    </dxf>
    <dxf>
      <font>
        <b/>
      </font>
      <fill>
        <patternFill patternType="solid">
          <fgColor rgb="FFFF0000"/>
          <bgColor rgb="FFFF0000"/>
        </patternFill>
      </fill>
      <border/>
    </dxf>
    <dxf>
      <font>
        <color rgb="FFFF0000"/>
      </font>
      <fill>
        <patternFill patternType="none"/>
      </fill>
      <border/>
    </dxf>
    <dxf>
      <font>
        <color rgb="FF006100"/>
      </font>
      <fill>
        <patternFill patternType="solid">
          <fgColor rgb="FFC6EFCE"/>
          <bgColor rgb="FFC6EFCE"/>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3"/></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696220416814"/>
          <c:y val="0.0605735727686947"/>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CU0-0'!$B$41:$B$43</c:f>
            </c:strRef>
          </c:cat>
          <c:val>
            <c:numRef>
              <c:f>'LISTA DE COMPROBACION - CU0-0'!$C$41:$C$43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696220416814"/>
          <c:y val="0.0605735727686947"/>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CU0-1'!$B$41:$B$43</c:f>
            </c:strRef>
          </c:cat>
          <c:val>
            <c:numRef>
              <c:f>'LISTA DE COMPROBACION - CU0-1'!$C$41:$C$43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5702716382656"/>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CU0-2'!$B$41:$B$43</c:f>
            </c:strRef>
          </c:cat>
          <c:val>
            <c:numRef>
              <c:f>'LISTA DE COMPROBACION - CU0-2'!$C$41:$C$43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CU0-3'!$B$41:$B$43</c:f>
            </c:strRef>
          </c:cat>
          <c:val>
            <c:numRef>
              <c:f>'LISTA DE COMPROBACION - CU0-3'!$C$41:$C$43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CU0-4'!$B$41:$B$43</c:f>
            </c:strRef>
          </c:cat>
          <c:val>
            <c:numRef>
              <c:f>'LISTA DE COMPROBACION - CU0-4'!$C$41:$C$43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5702716382656"/>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CU0-5'!$B$41:$B$43</c:f>
            </c:strRef>
          </c:cat>
          <c:val>
            <c:numRef>
              <c:f>'LISTA DE COMPROBACION - CU0-5'!$C$41:$C$43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CU0-6'!$B$41:$B$43</c:f>
            </c:strRef>
          </c:cat>
          <c:val>
            <c:numRef>
              <c:f>'LISTA DE COMPROBACION - CU0-6'!$C$41:$C$43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sz="1300">
                <a:solidFill>
                  <a:srgbClr val="757575"/>
                </a:solidFill>
                <a:latin typeface="Arial"/>
              </a:defRPr>
            </a:pPr>
            <a:r>
              <a:rPr b="0" i="0" sz="1300">
                <a:solidFill>
                  <a:srgbClr val="757575"/>
                </a:solidFill>
                <a:latin typeface="Arial"/>
              </a:rPr>
              <a:t>CRITERIO DE CALIDAD </a:t>
            </a:r>
          </a:p>
        </c:rich>
      </c:tx>
      <c:layout>
        <c:manualLayout>
          <c:xMode val="edge"/>
          <c:yMode val="edge"/>
          <c:x val="0.309559804357492"/>
          <c:y val="0.0604015522186604"/>
        </c:manualLayout>
      </c:layout>
      <c:overlay val="0"/>
    </c:title>
    <c:view3D>
      <c:rotX val="50"/>
      <c:perspective val="0"/>
    </c:view3D>
    <c:plotArea>
      <c:layout/>
      <c:pie3DChart>
        <c:varyColors val="1"/>
        <c:ser>
          <c:idx val="0"/>
          <c:order val="0"/>
          <c:dPt>
            <c:idx val="0"/>
            <c:spPr>
              <a:solidFill>
                <a:srgbClr val="4F81BD"/>
              </a:solidFill>
            </c:spPr>
          </c:dPt>
          <c:dPt>
            <c:idx val="1"/>
            <c:spPr>
              <a:solidFill>
                <a:srgbClr val="C0504D"/>
              </a:solidFill>
            </c:spPr>
          </c:dPt>
          <c:dPt>
            <c:idx val="2"/>
            <c:spPr>
              <a:solidFill>
                <a:srgbClr val="9BBB59"/>
              </a:solidFill>
            </c:spPr>
          </c:dPt>
          <c:dLbls>
            <c:dLbl>
              <c:idx val="0"/>
              <c:txPr>
                <a:bodyPr/>
                <a:lstStyle/>
                <a:p>
                  <a:pPr lvl="0">
                    <a:defRPr b="0" i="0" sz="1000">
                      <a:solidFill>
                        <a:srgbClr val="000000"/>
                      </a:solidFill>
                      <a:latin typeface="Calibri"/>
                    </a:defRPr>
                  </a:pPr>
                </a:p>
              </c:txPr>
              <c:showLegendKey val="0"/>
              <c:showVal val="0"/>
              <c:showCatName val="0"/>
              <c:showSerName val="0"/>
              <c:showPercent val="1"/>
              <c:showBubbleSize val="0"/>
            </c:dLbl>
            <c:dLbl>
              <c:idx val="1"/>
              <c:txPr>
                <a:bodyPr/>
                <a:lstStyle/>
                <a:p>
                  <a:pPr lvl="0">
                    <a:defRPr b="0" i="0" sz="1000">
                      <a:solidFill>
                        <a:srgbClr val="000000"/>
                      </a:solidFill>
                      <a:latin typeface="Calibri"/>
                    </a:defRPr>
                  </a:pPr>
                </a:p>
              </c:txPr>
              <c:showLegendKey val="0"/>
              <c:showVal val="0"/>
              <c:showCatName val="0"/>
              <c:showSerName val="0"/>
              <c:showPercent val="1"/>
              <c:showBubbleSize val="0"/>
            </c:dLbl>
            <c:dLbl>
              <c:idx val="2"/>
              <c:txPr>
                <a:bodyPr/>
                <a:lstStyle/>
                <a:p>
                  <a:pPr lvl="0">
                    <a:defRPr b="0" i="0" sz="1000">
                      <a:solidFill>
                        <a:srgbClr val="000000"/>
                      </a:solidFill>
                      <a:latin typeface="Calibri"/>
                    </a:defRPr>
                  </a:pPr>
                </a:p>
              </c:txPr>
              <c:showLegendKey val="0"/>
              <c:showVal val="0"/>
              <c:showCatName val="0"/>
              <c:showSerName val="0"/>
              <c:showPercent val="1"/>
              <c:showBubbleSize val="0"/>
            </c:dLbl>
            <c:showLegendKey val="0"/>
            <c:showVal val="0"/>
            <c:showCatName val="0"/>
            <c:showSerName val="0"/>
            <c:showPercent val="1"/>
            <c:showBubbleSize val="0"/>
            <c:showLeaderLines val="1"/>
          </c:dLbls>
          <c:cat>
            <c:strRef>
              <c:f>'LISTA DE COMPROBACION - CU0-7'!$B$41:$B$43</c:f>
            </c:strRef>
          </c:cat>
          <c:val>
            <c:numRef>
              <c:f>'LISTA DE COMPROBACION - CU0-7'!$C$41:$C$43</c:f>
              <c:numCache/>
            </c:numRef>
          </c:val>
        </c:ser>
        <c:dLbls>
          <c:showLegendKey val="0"/>
          <c:showVal val="0"/>
          <c:showCatName val="0"/>
          <c:showSerName val="0"/>
          <c:showPercent val="0"/>
          <c:showBubbleSize val="0"/>
        </c:dLbls>
      </c:pie3DChart>
    </c:plotArea>
    <c:legend>
      <c:legendPos val="r"/>
      <c:overlay val="0"/>
      <c:txPr>
        <a:bodyPr/>
        <a:lstStyle/>
        <a:p>
          <a:pPr lvl="0">
            <a:defRPr b="0" i="0" sz="1000">
              <a:solidFill>
                <a:srgbClr val="1A1A1A"/>
              </a:solidFill>
              <a:latin typeface="Calibri"/>
            </a:defRPr>
          </a:pPr>
        </a:p>
      </c:txPr>
    </c:legend>
    <c:plotVisOnly val="1"/>
  </c:chart>
  <c:spPr>
    <a:solidFill>
      <a:srgbClr val="FFFFFF"/>
    </a:solidFill>
  </c:spPr>
</c:chartSpac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38100</xdr:colOff>
      <xdr:row>6</xdr:row>
      <xdr:rowOff>0</xdr:rowOff>
    </xdr:from>
    <xdr:ext cx="3867150" cy="1085850"/>
    <xdr:graphicFrame>
      <xdr:nvGraphicFramePr>
        <xdr:cNvPr id="1535762216"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38100</xdr:colOff>
      <xdr:row>6</xdr:row>
      <xdr:rowOff>0</xdr:rowOff>
    </xdr:from>
    <xdr:ext cx="3867150" cy="1085850"/>
    <xdr:graphicFrame>
      <xdr:nvGraphicFramePr>
        <xdr:cNvPr id="1666199741"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419293489"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999691405" name="Chart 4"/>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1581101464" name="Chart 5"/>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408456860" name="Chart 6"/>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1426150778" name="Chart 7"/>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247650</xdr:colOff>
      <xdr:row>33</xdr:row>
      <xdr:rowOff>161925</xdr:rowOff>
    </xdr:from>
    <xdr:ext cx="3838575" cy="2124075"/>
    <xdr:graphicFrame>
      <xdr:nvGraphicFramePr>
        <xdr:cNvPr id="1223943056" name="Chart 8"/>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4.xml"/><Relationship Id="rId3"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5.xml"/><Relationship Id="rId3"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4.57"/>
    <col customWidth="1" min="2" max="2" width="4.43"/>
    <col customWidth="1" min="3" max="3" width="3.71"/>
    <col customWidth="1" min="4" max="4" width="34.86"/>
    <col customWidth="1" min="5" max="5" width="10.86"/>
    <col customWidth="1" min="6" max="6" width="42.71"/>
    <col customWidth="1" min="7" max="7" width="11.29"/>
    <col customWidth="1" min="8" max="8" width="42.71"/>
    <col customWidth="1" min="9" max="9" width="12.29"/>
    <col customWidth="1" min="10" max="10" width="42.71"/>
    <col customWidth="1" min="11" max="11" width="12.0"/>
    <col customWidth="1" hidden="1" min="12" max="12" width="4.71"/>
    <col customWidth="1" min="13" max="13" width="42.71"/>
    <col customWidth="1" min="14" max="14" width="11.71"/>
    <col customWidth="1" min="15" max="15" width="39.57"/>
    <col customWidth="1" min="16" max="16" width="12.86"/>
    <col customWidth="1" min="17" max="17" width="39.57"/>
    <col customWidth="1" min="18" max="18" width="12.57"/>
    <col customWidth="1" min="19" max="19" width="39.57"/>
    <col customWidth="1" min="20" max="20" width="12.43"/>
    <col customWidth="1" min="21" max="21" width="39.57"/>
  </cols>
  <sheetData>
    <row r="1" ht="14.25" customHeight="1">
      <c r="C1" s="1"/>
    </row>
    <row r="2" ht="23.25" customHeight="1">
      <c r="C2" s="1"/>
      <c r="D2" s="2" t="s">
        <v>0</v>
      </c>
      <c r="E2" s="3" t="s">
        <v>1</v>
      </c>
    </row>
    <row r="3" ht="30.0" customHeight="1">
      <c r="C3" s="4" t="s">
        <v>2</v>
      </c>
      <c r="P3" s="4"/>
      <c r="Q3" s="4"/>
      <c r="R3" s="4"/>
      <c r="S3" s="4"/>
      <c r="T3" s="4"/>
      <c r="U3" s="4"/>
    </row>
    <row r="4" ht="30.0" customHeight="1">
      <c r="P4" s="4"/>
      <c r="Q4" s="4"/>
      <c r="R4" s="4"/>
      <c r="S4" s="4"/>
      <c r="T4" s="4"/>
      <c r="U4" s="4"/>
    </row>
    <row r="5" ht="30.0" customHeight="1">
      <c r="C5" s="4"/>
      <c r="D5" s="2" t="s">
        <v>3</v>
      </c>
      <c r="E5" s="5" t="s">
        <v>4</v>
      </c>
      <c r="P5" s="5"/>
      <c r="Q5" s="5"/>
      <c r="R5" s="5"/>
      <c r="S5" s="5"/>
      <c r="T5" s="5"/>
      <c r="U5" s="5"/>
    </row>
    <row r="6" ht="55.5" customHeight="1">
      <c r="C6" s="1"/>
      <c r="F6" s="6" t="s">
        <v>5</v>
      </c>
      <c r="G6" s="7"/>
      <c r="H6" s="7"/>
      <c r="I6" s="7"/>
      <c r="J6" s="7"/>
      <c r="K6" s="7"/>
      <c r="L6" s="7"/>
      <c r="M6" s="7"/>
      <c r="N6" s="7"/>
      <c r="O6" s="7"/>
      <c r="P6" s="7"/>
      <c r="Q6" s="7"/>
      <c r="R6" s="7"/>
      <c r="S6" s="7"/>
      <c r="T6" s="7"/>
      <c r="U6" s="8"/>
    </row>
    <row r="7" ht="45.0" customHeight="1">
      <c r="B7" s="9" t="s">
        <v>6</v>
      </c>
      <c r="C7" s="10" t="s">
        <v>7</v>
      </c>
      <c r="D7" s="11"/>
      <c r="E7" s="12" t="s">
        <v>8</v>
      </c>
      <c r="F7" s="9" t="s">
        <v>9</v>
      </c>
      <c r="G7" s="12" t="s">
        <v>8</v>
      </c>
      <c r="H7" s="9" t="s">
        <v>10</v>
      </c>
      <c r="I7" s="12" t="s">
        <v>8</v>
      </c>
      <c r="J7" s="9" t="s">
        <v>11</v>
      </c>
      <c r="K7" s="12" t="s">
        <v>8</v>
      </c>
      <c r="L7" s="13">
        <v>100.0</v>
      </c>
      <c r="M7" s="9" t="s">
        <v>12</v>
      </c>
      <c r="N7" s="12" t="s">
        <v>8</v>
      </c>
      <c r="O7" s="9" t="s">
        <v>13</v>
      </c>
      <c r="P7" s="12" t="s">
        <v>8</v>
      </c>
      <c r="Q7" s="9" t="s">
        <v>14</v>
      </c>
      <c r="R7" s="12" t="s">
        <v>8</v>
      </c>
      <c r="S7" s="9" t="s">
        <v>15</v>
      </c>
      <c r="T7" s="12" t="s">
        <v>8</v>
      </c>
      <c r="U7" s="9" t="s">
        <v>16</v>
      </c>
    </row>
    <row r="8" ht="59.25" customHeight="1">
      <c r="B8" s="17"/>
      <c r="C8" s="18"/>
      <c r="D8" s="19"/>
      <c r="E8" s="17"/>
      <c r="F8" s="17"/>
      <c r="G8" s="17"/>
      <c r="H8" s="17"/>
      <c r="I8" s="17"/>
      <c r="J8" s="17"/>
      <c r="K8" s="17"/>
      <c r="L8" s="13">
        <v>0.0</v>
      </c>
      <c r="M8" s="17"/>
      <c r="N8" s="17"/>
      <c r="O8" s="17"/>
      <c r="P8" s="17"/>
      <c r="Q8" s="17"/>
      <c r="R8" s="17"/>
      <c r="S8" s="17"/>
      <c r="T8" s="17"/>
      <c r="U8" s="17"/>
    </row>
    <row r="9" ht="84.75" customHeight="1">
      <c r="B9" s="23">
        <v>1.0</v>
      </c>
      <c r="C9" s="25" t="s">
        <v>23</v>
      </c>
      <c r="D9" s="8"/>
      <c r="E9" s="27" t="s">
        <v>25</v>
      </c>
      <c r="F9" s="29" t="s">
        <v>27</v>
      </c>
      <c r="G9" s="27" t="s">
        <v>25</v>
      </c>
      <c r="H9" s="29" t="s">
        <v>27</v>
      </c>
      <c r="I9" s="27" t="s">
        <v>25</v>
      </c>
      <c r="J9" s="29" t="s">
        <v>30</v>
      </c>
      <c r="K9" s="27" t="s">
        <v>25</v>
      </c>
      <c r="L9" s="31">
        <v>1.0</v>
      </c>
      <c r="M9" s="29" t="s">
        <v>30</v>
      </c>
      <c r="N9" s="27" t="s">
        <v>25</v>
      </c>
      <c r="O9" s="29" t="s">
        <v>27</v>
      </c>
      <c r="P9" s="27" t="s">
        <v>25</v>
      </c>
      <c r="Q9" s="29" t="s">
        <v>30</v>
      </c>
      <c r="R9" s="27" t="s">
        <v>25</v>
      </c>
      <c r="S9" s="29" t="s">
        <v>27</v>
      </c>
      <c r="T9" s="27" t="s">
        <v>25</v>
      </c>
      <c r="U9" s="29" t="s">
        <v>27</v>
      </c>
    </row>
    <row r="10" ht="38.25" customHeight="1">
      <c r="B10" s="23">
        <v>2.0</v>
      </c>
      <c r="C10" s="25" t="s">
        <v>32</v>
      </c>
      <c r="D10" s="8"/>
      <c r="E10" s="27" t="s">
        <v>25</v>
      </c>
      <c r="F10" s="35" t="s">
        <v>34</v>
      </c>
      <c r="G10" s="27" t="s">
        <v>25</v>
      </c>
      <c r="H10" s="35" t="s">
        <v>34</v>
      </c>
      <c r="I10" s="27" t="s">
        <v>25</v>
      </c>
      <c r="J10" s="35" t="s">
        <v>35</v>
      </c>
      <c r="K10" s="27" t="s">
        <v>25</v>
      </c>
      <c r="M10" s="35" t="s">
        <v>36</v>
      </c>
      <c r="N10" s="27" t="s">
        <v>25</v>
      </c>
      <c r="O10" s="35" t="s">
        <v>34</v>
      </c>
      <c r="P10" s="27" t="s">
        <v>25</v>
      </c>
      <c r="Q10" s="35" t="s">
        <v>38</v>
      </c>
      <c r="R10" s="27" t="s">
        <v>25</v>
      </c>
      <c r="S10" s="35" t="s">
        <v>34</v>
      </c>
      <c r="T10" s="27" t="s">
        <v>25</v>
      </c>
      <c r="U10" s="35" t="s">
        <v>34</v>
      </c>
    </row>
    <row r="11" ht="84.75" customHeight="1">
      <c r="B11" s="23">
        <v>3.0</v>
      </c>
      <c r="C11" s="25" t="s">
        <v>39</v>
      </c>
      <c r="D11" s="8"/>
      <c r="E11" s="27" t="s">
        <v>25</v>
      </c>
      <c r="F11" s="35" t="s">
        <v>42</v>
      </c>
      <c r="G11" s="27" t="s">
        <v>25</v>
      </c>
      <c r="H11" s="35" t="s">
        <v>42</v>
      </c>
      <c r="I11" s="27" t="s">
        <v>44</v>
      </c>
      <c r="J11" s="35" t="s">
        <v>45</v>
      </c>
      <c r="K11" s="27" t="s">
        <v>25</v>
      </c>
      <c r="M11" s="35" t="s">
        <v>46</v>
      </c>
      <c r="N11" s="27" t="s">
        <v>44</v>
      </c>
      <c r="O11" s="35" t="s">
        <v>42</v>
      </c>
      <c r="P11" s="27" t="s">
        <v>25</v>
      </c>
      <c r="Q11" s="35" t="s">
        <v>48</v>
      </c>
      <c r="R11" s="27" t="s">
        <v>44</v>
      </c>
      <c r="S11" s="35" t="s">
        <v>42</v>
      </c>
      <c r="T11" s="27" t="s">
        <v>44</v>
      </c>
      <c r="U11" s="35" t="s">
        <v>42</v>
      </c>
    </row>
    <row r="12" ht="48.75" customHeight="1">
      <c r="B12" s="23">
        <v>4.0</v>
      </c>
      <c r="C12" s="25" t="s">
        <v>50</v>
      </c>
      <c r="D12" s="8"/>
      <c r="E12" s="27" t="s">
        <v>25</v>
      </c>
      <c r="F12" s="35" t="s">
        <v>52</v>
      </c>
      <c r="G12" s="27" t="s">
        <v>25</v>
      </c>
      <c r="H12" s="35" t="s">
        <v>52</v>
      </c>
      <c r="I12" s="38" t="s">
        <v>25</v>
      </c>
      <c r="J12" s="35" t="s">
        <v>55</v>
      </c>
      <c r="K12" s="38" t="s">
        <v>25</v>
      </c>
      <c r="M12" s="35" t="s">
        <v>55</v>
      </c>
      <c r="N12" s="38" t="s">
        <v>44</v>
      </c>
      <c r="O12" s="35" t="s">
        <v>52</v>
      </c>
      <c r="P12" s="38" t="s">
        <v>25</v>
      </c>
      <c r="Q12" s="35" t="s">
        <v>55</v>
      </c>
      <c r="R12" s="38" t="s">
        <v>44</v>
      </c>
      <c r="S12" s="35" t="s">
        <v>52</v>
      </c>
      <c r="T12" s="38" t="s">
        <v>44</v>
      </c>
      <c r="U12" s="35" t="s">
        <v>52</v>
      </c>
    </row>
    <row r="13" ht="84.75" customHeight="1">
      <c r="B13" s="23">
        <v>5.0</v>
      </c>
      <c r="C13" s="25" t="s">
        <v>56</v>
      </c>
      <c r="D13" s="8"/>
      <c r="E13" s="27" t="s">
        <v>25</v>
      </c>
      <c r="F13" s="35" t="s">
        <v>58</v>
      </c>
      <c r="G13" s="27" t="s">
        <v>25</v>
      </c>
      <c r="H13" s="35" t="s">
        <v>58</v>
      </c>
      <c r="I13" s="27" t="s">
        <v>25</v>
      </c>
      <c r="J13" s="35" t="s">
        <v>59</v>
      </c>
      <c r="K13" s="27" t="s">
        <v>25</v>
      </c>
      <c r="M13" s="35" t="s">
        <v>60</v>
      </c>
      <c r="N13" s="27" t="s">
        <v>25</v>
      </c>
      <c r="O13" s="35" t="s">
        <v>58</v>
      </c>
      <c r="P13" s="27" t="s">
        <v>25</v>
      </c>
      <c r="Q13" s="35" t="s">
        <v>61</v>
      </c>
      <c r="R13" s="27" t="s">
        <v>25</v>
      </c>
      <c r="S13" s="35" t="s">
        <v>58</v>
      </c>
      <c r="T13" s="27" t="s">
        <v>25</v>
      </c>
      <c r="U13" s="35" t="s">
        <v>58</v>
      </c>
    </row>
    <row r="14" ht="108.75" customHeight="1">
      <c r="B14" s="23">
        <v>6.0</v>
      </c>
      <c r="C14" s="25" t="s">
        <v>62</v>
      </c>
      <c r="D14" s="8"/>
      <c r="E14" s="27" t="s">
        <v>25</v>
      </c>
      <c r="F14" s="35" t="s">
        <v>63</v>
      </c>
      <c r="G14" s="27" t="s">
        <v>25</v>
      </c>
      <c r="H14" s="35" t="s">
        <v>63</v>
      </c>
      <c r="I14" s="27" t="s">
        <v>44</v>
      </c>
      <c r="J14" s="35" t="s">
        <v>64</v>
      </c>
      <c r="K14" s="27" t="s">
        <v>25</v>
      </c>
      <c r="M14" s="35" t="s">
        <v>65</v>
      </c>
      <c r="N14" s="27" t="s">
        <v>44</v>
      </c>
      <c r="O14" s="35" t="s">
        <v>63</v>
      </c>
      <c r="P14" s="27" t="s">
        <v>44</v>
      </c>
      <c r="Q14" s="35" t="s">
        <v>66</v>
      </c>
      <c r="R14" s="27" t="s">
        <v>44</v>
      </c>
      <c r="S14" s="35" t="s">
        <v>63</v>
      </c>
      <c r="T14" s="27" t="s">
        <v>44</v>
      </c>
      <c r="U14" s="35" t="s">
        <v>63</v>
      </c>
    </row>
    <row r="15" ht="73.5" customHeight="1">
      <c r="B15" s="23">
        <v>7.0</v>
      </c>
      <c r="C15" s="25" t="s">
        <v>67</v>
      </c>
      <c r="D15" s="8"/>
      <c r="E15" s="38" t="s">
        <v>44</v>
      </c>
      <c r="F15" s="35" t="s">
        <v>68</v>
      </c>
      <c r="G15" s="38" t="s">
        <v>44</v>
      </c>
      <c r="H15" s="35" t="s">
        <v>68</v>
      </c>
      <c r="I15" s="27" t="s">
        <v>25</v>
      </c>
      <c r="J15" s="35" t="s">
        <v>69</v>
      </c>
      <c r="K15" s="27" t="s">
        <v>25</v>
      </c>
      <c r="M15" s="35" t="s">
        <v>70</v>
      </c>
      <c r="N15" s="27" t="s">
        <v>25</v>
      </c>
      <c r="O15" s="35" t="s">
        <v>68</v>
      </c>
      <c r="P15" s="27" t="s">
        <v>25</v>
      </c>
      <c r="Q15" s="35" t="s">
        <v>71</v>
      </c>
      <c r="R15" s="27" t="s">
        <v>25</v>
      </c>
      <c r="S15" s="35" t="s">
        <v>68</v>
      </c>
      <c r="T15" s="27" t="s">
        <v>25</v>
      </c>
      <c r="U15" s="35" t="s">
        <v>68</v>
      </c>
    </row>
    <row r="16" ht="96.75" customHeight="1">
      <c r="B16" s="23">
        <v>8.0</v>
      </c>
      <c r="C16" s="25" t="s">
        <v>72</v>
      </c>
      <c r="D16" s="8"/>
      <c r="E16" s="27" t="s">
        <v>25</v>
      </c>
      <c r="F16" s="35" t="s">
        <v>73</v>
      </c>
      <c r="G16" s="27" t="s">
        <v>25</v>
      </c>
      <c r="H16" s="35" t="s">
        <v>73</v>
      </c>
      <c r="I16" s="27" t="s">
        <v>25</v>
      </c>
      <c r="J16" s="35" t="s">
        <v>74</v>
      </c>
      <c r="K16" s="27" t="s">
        <v>25</v>
      </c>
      <c r="M16" s="35" t="s">
        <v>74</v>
      </c>
      <c r="N16" s="27" t="s">
        <v>25</v>
      </c>
      <c r="O16" s="35" t="s">
        <v>73</v>
      </c>
      <c r="P16" s="27" t="s">
        <v>25</v>
      </c>
      <c r="Q16" s="35" t="s">
        <v>74</v>
      </c>
      <c r="R16" s="27" t="s">
        <v>25</v>
      </c>
      <c r="S16" s="35" t="s">
        <v>73</v>
      </c>
      <c r="T16" s="27" t="s">
        <v>25</v>
      </c>
      <c r="U16" s="35" t="s">
        <v>73</v>
      </c>
    </row>
    <row r="17" ht="72.75" customHeight="1">
      <c r="B17" s="23">
        <v>9.0</v>
      </c>
      <c r="C17" s="25" t="s">
        <v>75</v>
      </c>
      <c r="D17" s="8"/>
      <c r="E17" s="27" t="s">
        <v>25</v>
      </c>
      <c r="F17" s="42" t="s">
        <v>76</v>
      </c>
      <c r="G17" s="27" t="s">
        <v>25</v>
      </c>
      <c r="H17" s="42" t="s">
        <v>76</v>
      </c>
      <c r="I17" s="27" t="s">
        <v>25</v>
      </c>
      <c r="J17" s="42" t="s">
        <v>77</v>
      </c>
      <c r="K17" s="27" t="s">
        <v>25</v>
      </c>
      <c r="M17" s="42" t="s">
        <v>78</v>
      </c>
      <c r="N17" s="27" t="s">
        <v>25</v>
      </c>
      <c r="O17" s="42" t="s">
        <v>76</v>
      </c>
      <c r="P17" s="27" t="s">
        <v>25</v>
      </c>
      <c r="Q17" s="42" t="s">
        <v>79</v>
      </c>
      <c r="R17" s="27" t="s">
        <v>25</v>
      </c>
      <c r="S17" s="42" t="s">
        <v>76</v>
      </c>
      <c r="T17" s="27" t="s">
        <v>25</v>
      </c>
      <c r="U17" s="42" t="s">
        <v>76</v>
      </c>
    </row>
    <row r="18" ht="84.75" customHeight="1">
      <c r="B18" s="23">
        <v>10.0</v>
      </c>
      <c r="C18" s="25" t="s">
        <v>80</v>
      </c>
      <c r="D18" s="8"/>
      <c r="E18" s="27" t="s">
        <v>25</v>
      </c>
      <c r="F18" s="35" t="s">
        <v>82</v>
      </c>
      <c r="G18" s="27" t="s">
        <v>25</v>
      </c>
      <c r="H18" s="35" t="s">
        <v>82</v>
      </c>
      <c r="I18" s="27" t="s">
        <v>25</v>
      </c>
      <c r="J18" s="35" t="s">
        <v>83</v>
      </c>
      <c r="K18" s="27" t="s">
        <v>25</v>
      </c>
      <c r="M18" s="35" t="s">
        <v>84</v>
      </c>
      <c r="N18" s="27" t="s">
        <v>25</v>
      </c>
      <c r="O18" s="35" t="s">
        <v>82</v>
      </c>
      <c r="P18" s="27" t="s">
        <v>25</v>
      </c>
      <c r="Q18" s="35" t="s">
        <v>85</v>
      </c>
      <c r="R18" s="27" t="s">
        <v>25</v>
      </c>
      <c r="S18" s="35" t="s">
        <v>82</v>
      </c>
      <c r="T18" s="27" t="s">
        <v>25</v>
      </c>
      <c r="U18" s="35" t="s">
        <v>82</v>
      </c>
    </row>
    <row r="19" ht="60.75" customHeight="1">
      <c r="B19" s="23">
        <v>11.0</v>
      </c>
      <c r="C19" s="25" t="s">
        <v>86</v>
      </c>
      <c r="D19" s="8"/>
      <c r="E19" s="27" t="s">
        <v>25</v>
      </c>
      <c r="F19" s="35" t="s">
        <v>87</v>
      </c>
      <c r="G19" s="27" t="s">
        <v>25</v>
      </c>
      <c r="H19" s="35" t="s">
        <v>87</v>
      </c>
      <c r="I19" s="27" t="s">
        <v>25</v>
      </c>
      <c r="J19" s="35" t="s">
        <v>88</v>
      </c>
      <c r="K19" s="27" t="s">
        <v>25</v>
      </c>
      <c r="M19" s="35" t="s">
        <v>88</v>
      </c>
      <c r="N19" s="27" t="s">
        <v>25</v>
      </c>
      <c r="O19" s="35" t="s">
        <v>87</v>
      </c>
      <c r="P19" s="27" t="s">
        <v>25</v>
      </c>
      <c r="Q19" s="35" t="s">
        <v>88</v>
      </c>
      <c r="R19" s="27" t="s">
        <v>25</v>
      </c>
      <c r="S19" s="35" t="s">
        <v>87</v>
      </c>
      <c r="T19" s="27" t="s">
        <v>25</v>
      </c>
      <c r="U19" s="35" t="s">
        <v>87</v>
      </c>
    </row>
    <row r="20" ht="14.25" customHeight="1">
      <c r="C20" s="1"/>
    </row>
    <row r="21" ht="14.25" customHeight="1">
      <c r="C21" s="1"/>
    </row>
    <row r="22" ht="14.25" customHeight="1">
      <c r="C22" s="1"/>
    </row>
    <row r="23" ht="14.25" customHeight="1">
      <c r="C23" s="1"/>
    </row>
    <row r="24" ht="14.25" customHeight="1">
      <c r="C24" s="1"/>
    </row>
    <row r="25" ht="14.25" customHeight="1">
      <c r="C25" s="1"/>
    </row>
    <row r="26" ht="14.25" customHeight="1">
      <c r="C26" s="1"/>
    </row>
    <row r="27" ht="14.25" customHeight="1">
      <c r="C27" s="1"/>
    </row>
    <row r="28" ht="14.25" customHeight="1">
      <c r="C28" s="1"/>
    </row>
    <row r="29" ht="14.25" customHeight="1">
      <c r="C29" s="1"/>
    </row>
    <row r="30" ht="14.25" customHeight="1">
      <c r="C30" s="1"/>
    </row>
    <row r="31" ht="14.25" customHeight="1">
      <c r="C31" s="1"/>
    </row>
    <row r="32" ht="14.25" customHeight="1">
      <c r="C32" s="1"/>
    </row>
    <row r="33" ht="14.25" customHeight="1">
      <c r="C33" s="1"/>
    </row>
    <row r="34" ht="14.25" customHeight="1">
      <c r="C34" s="1"/>
    </row>
    <row r="35" ht="14.25" customHeight="1">
      <c r="C35" s="1"/>
    </row>
    <row r="36" ht="14.25" customHeight="1">
      <c r="C36" s="1"/>
    </row>
    <row r="37" ht="14.25" customHeight="1">
      <c r="C37" s="1"/>
    </row>
    <row r="38" ht="14.25" customHeight="1">
      <c r="C38" s="1"/>
    </row>
    <row r="39" ht="14.25" customHeight="1">
      <c r="C39" s="1"/>
    </row>
    <row r="40" ht="14.25" customHeight="1">
      <c r="C40" s="1"/>
    </row>
    <row r="41" ht="14.25" customHeight="1">
      <c r="C41" s="1"/>
    </row>
    <row r="42" ht="14.25" customHeight="1">
      <c r="C42" s="1"/>
    </row>
    <row r="43" ht="14.25" customHeight="1">
      <c r="C43" s="1"/>
    </row>
    <row r="44" ht="14.25" customHeight="1">
      <c r="C44" s="1"/>
    </row>
    <row r="45" ht="14.25" customHeight="1">
      <c r="C45" s="1"/>
    </row>
    <row r="46" ht="14.25" customHeight="1">
      <c r="C46" s="1"/>
    </row>
    <row r="47" ht="14.25" customHeight="1">
      <c r="C47" s="1"/>
    </row>
    <row r="48" ht="14.25" customHeight="1">
      <c r="C48" s="1"/>
    </row>
    <row r="49" ht="14.25" customHeight="1">
      <c r="C49" s="1"/>
    </row>
    <row r="50" ht="14.25" customHeight="1">
      <c r="C50" s="1"/>
    </row>
    <row r="51" ht="14.25" customHeight="1">
      <c r="C51" s="1"/>
    </row>
    <row r="52" ht="14.25" customHeight="1">
      <c r="C52" s="1"/>
    </row>
    <row r="53" ht="14.25" customHeight="1">
      <c r="C53" s="1"/>
    </row>
    <row r="54" ht="14.25" customHeight="1">
      <c r="C54" s="1"/>
    </row>
    <row r="55" ht="14.25" customHeight="1">
      <c r="C55" s="1"/>
    </row>
    <row r="56" ht="14.25" customHeight="1">
      <c r="C56" s="1"/>
    </row>
    <row r="57" ht="14.25" customHeight="1">
      <c r="C57" s="1"/>
    </row>
    <row r="58" ht="14.25" customHeight="1">
      <c r="C58" s="1"/>
    </row>
    <row r="59" ht="14.25" customHeight="1">
      <c r="C59" s="1"/>
    </row>
    <row r="60" ht="14.25" customHeight="1">
      <c r="C60" s="1"/>
    </row>
    <row r="61" ht="14.25" customHeight="1">
      <c r="C61" s="1"/>
    </row>
    <row r="62" ht="14.25" customHeight="1">
      <c r="C62" s="1"/>
    </row>
    <row r="63" ht="14.25" customHeight="1">
      <c r="C63" s="1"/>
    </row>
    <row r="64" ht="14.25" customHeight="1">
      <c r="C64" s="1"/>
    </row>
    <row r="65" ht="14.25" customHeight="1">
      <c r="C65" s="1"/>
    </row>
    <row r="66" ht="14.25" customHeight="1">
      <c r="C66" s="1"/>
    </row>
    <row r="67" ht="14.25" customHeight="1">
      <c r="C67" s="1"/>
    </row>
    <row r="68" ht="14.25" customHeight="1">
      <c r="C68" s="1"/>
    </row>
    <row r="69" ht="14.25" customHeight="1">
      <c r="C69" s="1"/>
    </row>
    <row r="70" ht="14.25" customHeight="1">
      <c r="C70" s="1"/>
    </row>
    <row r="71" ht="14.25" customHeight="1">
      <c r="C71" s="1"/>
    </row>
    <row r="72" ht="14.25" customHeight="1">
      <c r="C72" s="1"/>
    </row>
    <row r="73" ht="14.25" customHeight="1">
      <c r="C73" s="1"/>
    </row>
    <row r="74" ht="14.25" customHeight="1">
      <c r="C74" s="1"/>
    </row>
    <row r="75" ht="14.25" customHeight="1">
      <c r="C75" s="1"/>
    </row>
    <row r="76" ht="14.25" customHeight="1">
      <c r="C76" s="1"/>
    </row>
    <row r="77" ht="14.25" customHeight="1">
      <c r="C77" s="1"/>
    </row>
    <row r="78" ht="14.25" customHeight="1">
      <c r="C78" s="1"/>
    </row>
    <row r="79" ht="14.25" customHeight="1">
      <c r="C79" s="1"/>
    </row>
    <row r="80" ht="14.25" customHeight="1">
      <c r="C80" s="1"/>
    </row>
    <row r="81" ht="14.25" customHeight="1">
      <c r="C81" s="1"/>
    </row>
    <row r="82" ht="14.25" customHeight="1">
      <c r="C82" s="1"/>
    </row>
    <row r="83" ht="14.25" customHeight="1">
      <c r="C83" s="1"/>
    </row>
    <row r="84" ht="14.25" customHeight="1">
      <c r="C84" s="1"/>
    </row>
    <row r="85" ht="14.25" customHeight="1">
      <c r="C85" s="1"/>
    </row>
    <row r="86" ht="14.25" customHeight="1">
      <c r="C86" s="1"/>
    </row>
    <row r="87" ht="14.25" customHeight="1">
      <c r="C87" s="1"/>
    </row>
    <row r="88" ht="14.25" customHeight="1">
      <c r="C88" s="1"/>
    </row>
    <row r="89" ht="14.25" customHeight="1">
      <c r="C89" s="1"/>
    </row>
    <row r="90" ht="14.25" customHeight="1">
      <c r="C90" s="1"/>
    </row>
    <row r="91" ht="14.25" customHeight="1">
      <c r="C91" s="1"/>
    </row>
    <row r="92" ht="14.25" customHeight="1">
      <c r="C92" s="1"/>
    </row>
    <row r="93" ht="14.25" customHeight="1">
      <c r="C93" s="1"/>
    </row>
    <row r="94" ht="14.25" customHeight="1">
      <c r="C94" s="1"/>
    </row>
    <row r="95" ht="14.25" customHeight="1">
      <c r="C95" s="1"/>
    </row>
    <row r="96" ht="14.25" customHeight="1">
      <c r="C96" s="1"/>
    </row>
    <row r="97" ht="14.25" customHeight="1">
      <c r="C97" s="1"/>
    </row>
    <row r="98" ht="14.25" customHeight="1">
      <c r="C98" s="1"/>
    </row>
    <row r="99" ht="14.25" customHeight="1">
      <c r="C99" s="1"/>
    </row>
    <row r="100" ht="14.25" customHeight="1">
      <c r="C100" s="1"/>
    </row>
    <row r="101" ht="14.25" customHeight="1">
      <c r="C101" s="1"/>
    </row>
    <row r="102" ht="14.25" customHeight="1">
      <c r="C102" s="1"/>
    </row>
    <row r="103" ht="14.25" customHeight="1">
      <c r="C103" s="1"/>
    </row>
    <row r="104" ht="14.25" customHeight="1">
      <c r="C104" s="1"/>
    </row>
    <row r="105" ht="14.25" customHeight="1">
      <c r="C105" s="1"/>
    </row>
    <row r="106" ht="14.25" customHeight="1">
      <c r="C106" s="1"/>
    </row>
    <row r="107" ht="14.25" customHeight="1">
      <c r="C107" s="1"/>
    </row>
    <row r="108" ht="14.25" customHeight="1">
      <c r="C108" s="1"/>
    </row>
    <row r="109" ht="14.25" customHeight="1">
      <c r="C109" s="1"/>
    </row>
    <row r="110" ht="14.25" customHeight="1">
      <c r="C110" s="1"/>
    </row>
    <row r="111" ht="14.25" customHeight="1">
      <c r="C111" s="1"/>
    </row>
    <row r="112" ht="14.25" customHeight="1">
      <c r="C112" s="1"/>
    </row>
    <row r="113" ht="14.25" customHeight="1">
      <c r="C113" s="1"/>
    </row>
    <row r="114" ht="14.25" customHeight="1">
      <c r="C114" s="1"/>
    </row>
    <row r="115" ht="14.25" customHeight="1">
      <c r="C115" s="1"/>
    </row>
    <row r="116" ht="14.25" customHeight="1">
      <c r="C116" s="1"/>
    </row>
    <row r="117" ht="14.25" customHeight="1">
      <c r="C117" s="1"/>
    </row>
    <row r="118" ht="14.25" customHeight="1">
      <c r="C118" s="1"/>
    </row>
    <row r="119" ht="14.25" customHeight="1">
      <c r="C119" s="1"/>
    </row>
    <row r="120" ht="14.25" customHeight="1">
      <c r="C120" s="1"/>
    </row>
    <row r="121" ht="14.25" customHeight="1">
      <c r="C121" s="1"/>
    </row>
    <row r="122" ht="14.25" customHeight="1">
      <c r="C122" s="1"/>
    </row>
    <row r="123" ht="14.25" customHeight="1">
      <c r="C123" s="1"/>
    </row>
    <row r="124" ht="14.25" customHeight="1">
      <c r="C124" s="1"/>
    </row>
    <row r="125" ht="14.25" customHeight="1">
      <c r="C125" s="1"/>
    </row>
    <row r="126" ht="14.25" customHeight="1">
      <c r="C126" s="1"/>
    </row>
    <row r="127" ht="14.25" customHeight="1">
      <c r="C127" s="1"/>
    </row>
    <row r="128" ht="14.25" customHeight="1">
      <c r="C128" s="1"/>
    </row>
    <row r="129" ht="14.25" customHeight="1">
      <c r="C129" s="1"/>
    </row>
    <row r="130" ht="14.25" customHeight="1">
      <c r="C130" s="1"/>
    </row>
    <row r="131" ht="14.25" customHeight="1">
      <c r="C131" s="1"/>
    </row>
    <row r="132" ht="14.25" customHeight="1">
      <c r="C132" s="1"/>
    </row>
    <row r="133" ht="14.25" customHeight="1">
      <c r="C133" s="1"/>
    </row>
    <row r="134" ht="14.25" customHeight="1">
      <c r="C134" s="1"/>
    </row>
    <row r="135" ht="14.25" customHeight="1">
      <c r="C135" s="1"/>
    </row>
    <row r="136" ht="14.25" customHeight="1">
      <c r="C136" s="1"/>
    </row>
    <row r="137" ht="14.25" customHeight="1">
      <c r="C137" s="1"/>
    </row>
    <row r="138" ht="14.25" customHeight="1">
      <c r="C138" s="1"/>
    </row>
    <row r="139" ht="14.25" customHeight="1">
      <c r="C139" s="1"/>
    </row>
    <row r="140" ht="14.25" customHeight="1">
      <c r="C140" s="1"/>
    </row>
    <row r="141" ht="14.25" customHeight="1">
      <c r="C141" s="1"/>
    </row>
    <row r="142" ht="14.25" customHeight="1">
      <c r="C142" s="1"/>
    </row>
    <row r="143" ht="14.25" customHeight="1">
      <c r="C143" s="1"/>
    </row>
    <row r="144" ht="14.25" customHeight="1">
      <c r="C144" s="1"/>
    </row>
    <row r="145" ht="14.25" customHeight="1">
      <c r="C145" s="1"/>
    </row>
    <row r="146" ht="14.25" customHeight="1">
      <c r="C146" s="1"/>
    </row>
    <row r="147" ht="14.25" customHeight="1">
      <c r="C147" s="1"/>
    </row>
    <row r="148" ht="14.25" customHeight="1">
      <c r="C148" s="1"/>
    </row>
    <row r="149" ht="14.25" customHeight="1">
      <c r="C149" s="1"/>
    </row>
    <row r="150" ht="14.25" customHeight="1">
      <c r="C150" s="1"/>
    </row>
    <row r="151" ht="14.25" customHeight="1">
      <c r="C151" s="1"/>
    </row>
    <row r="152" ht="14.25" customHeight="1">
      <c r="C152" s="1"/>
    </row>
    <row r="153" ht="14.25" customHeight="1">
      <c r="C153" s="1"/>
    </row>
    <row r="154" ht="14.25" customHeight="1">
      <c r="C154" s="1"/>
    </row>
    <row r="155" ht="14.25" customHeight="1">
      <c r="C155" s="1"/>
    </row>
    <row r="156" ht="14.25" customHeight="1">
      <c r="C156" s="1"/>
    </row>
    <row r="157" ht="14.25" customHeight="1">
      <c r="C157" s="1"/>
    </row>
    <row r="158" ht="14.25" customHeight="1">
      <c r="C158" s="1"/>
    </row>
    <row r="159" ht="14.25" customHeight="1">
      <c r="C159" s="1"/>
    </row>
    <row r="160" ht="14.25" customHeight="1">
      <c r="C160" s="1"/>
    </row>
    <row r="161" ht="14.25" customHeight="1">
      <c r="C161" s="1"/>
    </row>
    <row r="162" ht="14.25" customHeight="1">
      <c r="C162" s="1"/>
    </row>
    <row r="163" ht="14.25" customHeight="1">
      <c r="C163" s="1"/>
    </row>
    <row r="164" ht="14.25" customHeight="1">
      <c r="C164" s="1"/>
    </row>
    <row r="165" ht="14.25" customHeight="1">
      <c r="C165" s="1"/>
    </row>
    <row r="166" ht="14.25" customHeight="1">
      <c r="C166" s="1"/>
    </row>
    <row r="167" ht="14.25" customHeight="1">
      <c r="C167" s="1"/>
    </row>
    <row r="168" ht="14.25" customHeight="1">
      <c r="C168" s="1"/>
    </row>
    <row r="169" ht="14.25" customHeight="1">
      <c r="C169" s="1"/>
    </row>
    <row r="170" ht="14.25" customHeight="1">
      <c r="C170" s="1"/>
    </row>
    <row r="171" ht="14.25" customHeight="1">
      <c r="C171" s="1"/>
    </row>
    <row r="172" ht="14.25" customHeight="1">
      <c r="C172" s="1"/>
    </row>
    <row r="173" ht="14.25" customHeight="1">
      <c r="C173" s="1"/>
    </row>
    <row r="174" ht="14.25" customHeight="1">
      <c r="C174" s="1"/>
    </row>
    <row r="175" ht="14.25" customHeight="1">
      <c r="C175" s="1"/>
    </row>
    <row r="176" ht="14.25" customHeight="1">
      <c r="C176" s="1"/>
    </row>
    <row r="177" ht="14.25" customHeight="1">
      <c r="C177" s="1"/>
    </row>
    <row r="178" ht="14.25" customHeight="1">
      <c r="C178" s="1"/>
    </row>
    <row r="179" ht="14.25" customHeight="1">
      <c r="C179" s="1"/>
    </row>
    <row r="180" ht="14.25" customHeight="1">
      <c r="C180" s="1"/>
    </row>
    <row r="181" ht="14.25" customHeight="1">
      <c r="C181" s="1"/>
    </row>
    <row r="182" ht="14.25" customHeight="1">
      <c r="C182" s="1"/>
    </row>
    <row r="183" ht="14.25" customHeight="1">
      <c r="C183" s="1"/>
    </row>
    <row r="184" ht="14.25" customHeight="1">
      <c r="C184" s="1"/>
    </row>
    <row r="185" ht="14.25" customHeight="1">
      <c r="C185" s="1"/>
    </row>
    <row r="186" ht="14.25" customHeight="1">
      <c r="C186" s="1"/>
    </row>
    <row r="187" ht="14.25" customHeight="1">
      <c r="C187" s="1"/>
    </row>
    <row r="188" ht="14.25" customHeight="1">
      <c r="C188" s="1"/>
    </row>
    <row r="189" ht="14.25" customHeight="1">
      <c r="C189" s="1"/>
    </row>
    <row r="190" ht="14.25" customHeight="1">
      <c r="C190" s="1"/>
    </row>
    <row r="191" ht="14.25" customHeight="1">
      <c r="C191" s="1"/>
    </row>
    <row r="192" ht="14.25" customHeight="1">
      <c r="C192" s="1"/>
    </row>
    <row r="193" ht="14.25" customHeight="1">
      <c r="C193" s="1"/>
    </row>
    <row r="194" ht="14.25" customHeight="1">
      <c r="C194" s="1"/>
    </row>
    <row r="195" ht="14.25" customHeight="1">
      <c r="C195" s="1"/>
    </row>
    <row r="196" ht="14.25" customHeight="1">
      <c r="C196" s="1"/>
    </row>
    <row r="197" ht="14.25" customHeight="1">
      <c r="C197" s="1"/>
    </row>
    <row r="198" ht="14.25" customHeight="1">
      <c r="C198" s="1"/>
    </row>
    <row r="199" ht="14.25" customHeight="1">
      <c r="C199" s="1"/>
    </row>
    <row r="200" ht="14.25" customHeight="1">
      <c r="C200" s="1"/>
    </row>
    <row r="201" ht="14.25" customHeight="1">
      <c r="C201" s="1"/>
    </row>
    <row r="202" ht="14.25" customHeight="1">
      <c r="C202" s="1"/>
    </row>
    <row r="203" ht="14.25" customHeight="1">
      <c r="C203" s="1"/>
    </row>
    <row r="204" ht="14.25" customHeight="1">
      <c r="C204" s="1"/>
    </row>
    <row r="205" ht="14.25" customHeight="1">
      <c r="C205" s="1"/>
    </row>
    <row r="206" ht="14.25" customHeight="1">
      <c r="C206" s="1"/>
    </row>
    <row r="207" ht="14.25" customHeight="1">
      <c r="C207" s="1"/>
    </row>
    <row r="208" ht="14.25" customHeight="1">
      <c r="C208" s="1"/>
    </row>
    <row r="209" ht="14.25" customHeight="1">
      <c r="C209" s="1"/>
    </row>
    <row r="210" ht="14.25" customHeight="1">
      <c r="C210" s="1"/>
    </row>
    <row r="211" ht="14.25" customHeight="1">
      <c r="C211" s="1"/>
    </row>
    <row r="212" ht="14.25" customHeight="1">
      <c r="C212" s="1"/>
    </row>
    <row r="213" ht="14.25" customHeight="1">
      <c r="C213" s="1"/>
    </row>
    <row r="214" ht="14.25" customHeight="1">
      <c r="C214" s="1"/>
    </row>
    <row r="215" ht="14.25" customHeight="1">
      <c r="C215" s="1"/>
    </row>
    <row r="216" ht="14.25" customHeight="1">
      <c r="C216" s="1"/>
    </row>
    <row r="217" ht="14.25" customHeight="1">
      <c r="C217" s="1"/>
    </row>
    <row r="218" ht="14.25" customHeight="1">
      <c r="C218" s="1"/>
    </row>
    <row r="219" ht="14.25" customHeight="1">
      <c r="C219" s="1"/>
    </row>
    <row r="220" ht="14.25" customHeight="1">
      <c r="C220" s="1"/>
    </row>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3">
    <mergeCell ref="C14:D14"/>
    <mergeCell ref="C15:D15"/>
    <mergeCell ref="C16:D16"/>
    <mergeCell ref="C17:D17"/>
    <mergeCell ref="C18:D18"/>
    <mergeCell ref="C19:D19"/>
    <mergeCell ref="F7:F8"/>
    <mergeCell ref="G7:G8"/>
    <mergeCell ref="C9:D9"/>
    <mergeCell ref="C10:D10"/>
    <mergeCell ref="C11:D11"/>
    <mergeCell ref="C12:D12"/>
    <mergeCell ref="C13:D13"/>
    <mergeCell ref="H7:H8"/>
    <mergeCell ref="I7:I8"/>
    <mergeCell ref="J7:J8"/>
    <mergeCell ref="K7:K8"/>
    <mergeCell ref="M7:M8"/>
    <mergeCell ref="N7:N8"/>
    <mergeCell ref="O7:O8"/>
    <mergeCell ref="P7:P8"/>
    <mergeCell ref="Q7:Q8"/>
    <mergeCell ref="R7:R8"/>
    <mergeCell ref="S7:S8"/>
    <mergeCell ref="T7:T8"/>
    <mergeCell ref="E2:J2"/>
    <mergeCell ref="C3:O4"/>
    <mergeCell ref="E5:O5"/>
    <mergeCell ref="F6:U6"/>
    <mergeCell ref="B7:B8"/>
    <mergeCell ref="C7:D8"/>
    <mergeCell ref="E7:E8"/>
    <mergeCell ref="U7:U8"/>
  </mergeCells>
  <printOptions horizontalCentered="1" verticalCentered="1"/>
  <pageMargins bottom="0.747916666666667" footer="0.0" header="0.0" left="0.470138888888889" right="0.708333333333333" top="0.747916666666667"/>
  <pageSetup paperSize="9" scale="56" orientation="landscape"/>
  <headerFooter>
    <oddFooter>&amp;LElaborado por: Ing Jenny A Ruiz R, Mónica  Gómez Docentes TC del Departamento de Ciencias de la  Computación IREB PROYECTO DE CHECK LIST  (CASO DE ESTUDIO ACADÉMICO)&amp;C&amp;P de &amp;R&amp;D</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6.71"/>
    <col customWidth="1" min="4" max="4" width="20.0"/>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21">
        <v>46300.0</v>
      </c>
    </row>
    <row r="3" ht="17.25" customHeight="1">
      <c r="B3" s="20" t="s">
        <v>18</v>
      </c>
      <c r="C3" s="22" t="s">
        <v>19</v>
      </c>
    </row>
    <row r="4" ht="17.25" customHeight="1">
      <c r="B4" s="20" t="s">
        <v>20</v>
      </c>
      <c r="C4" s="22" t="s">
        <v>9</v>
      </c>
    </row>
    <row r="5" ht="14.25" customHeight="1"/>
    <row r="6" ht="14.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6"/>
      <c r="D14" s="34" t="s">
        <v>33</v>
      </c>
    </row>
    <row r="15" ht="14.25" customHeight="1">
      <c r="A15" s="32">
        <v>8.0</v>
      </c>
      <c r="B15" s="33" t="s">
        <v>51</v>
      </c>
      <c r="C15" s="34" t="s">
        <v>33</v>
      </c>
      <c r="D15" s="36"/>
    </row>
    <row r="16" ht="14.25" customHeight="1">
      <c r="A16" s="37">
        <v>9.0</v>
      </c>
      <c r="B16" s="39" t="s">
        <v>54</v>
      </c>
      <c r="C16" s="40" t="s">
        <v>53</v>
      </c>
      <c r="D16" s="40"/>
    </row>
    <row r="17" ht="14.25" customHeight="1">
      <c r="A17" s="41" t="s">
        <v>57</v>
      </c>
      <c r="C17" s="31">
        <f>COUNTA('LISTA DE COMPROBACION - CU0-0'!$C$8:$C$16)</f>
        <v>8</v>
      </c>
      <c r="D17" s="31">
        <f>COUNTA('LISTA DE COMPROBACION - CU0-0'!$D$8:$D$16)</f>
        <v>1</v>
      </c>
    </row>
    <row r="18" ht="14.25" customHeight="1">
      <c r="A18" s="41" t="s">
        <v>81</v>
      </c>
      <c r="C18" s="43">
        <f t="shared" ref="C18:D18" si="1">C17/9</f>
        <v>0.8888888889</v>
      </c>
      <c r="D18" s="43">
        <f t="shared" si="1"/>
        <v>0.1111111111</v>
      </c>
    </row>
    <row r="19" ht="14.25" customHeight="1">
      <c r="A19" s="41"/>
      <c r="B19" s="41"/>
      <c r="C19" s="43"/>
    </row>
    <row r="20" ht="14.25" customHeight="1">
      <c r="A20" s="44" t="s">
        <v>89</v>
      </c>
      <c r="B20" s="45"/>
      <c r="C20" s="45"/>
      <c r="D20" s="45"/>
    </row>
    <row r="21" ht="15.75" customHeight="1">
      <c r="A21" s="46" t="s">
        <v>24</v>
      </c>
      <c r="B21" s="47" t="s">
        <v>26</v>
      </c>
      <c r="C21" s="48" t="s">
        <v>28</v>
      </c>
      <c r="D21" s="49" t="s">
        <v>29</v>
      </c>
    </row>
    <row r="22" ht="15.75" customHeight="1">
      <c r="A22" s="32">
        <v>1.0</v>
      </c>
      <c r="B22" s="33" t="s">
        <v>90</v>
      </c>
      <c r="C22" s="40" t="s">
        <v>33</v>
      </c>
      <c r="D22" s="36"/>
    </row>
    <row r="23" ht="15.75" customHeight="1">
      <c r="A23" s="32">
        <v>2.0</v>
      </c>
      <c r="B23" s="33" t="s">
        <v>91</v>
      </c>
      <c r="C23" s="40" t="s">
        <v>33</v>
      </c>
      <c r="D23" s="36"/>
    </row>
    <row r="24" ht="15.75" customHeight="1">
      <c r="A24" s="32">
        <v>3.0</v>
      </c>
      <c r="B24" s="33" t="s">
        <v>92</v>
      </c>
      <c r="C24" s="40" t="s">
        <v>33</v>
      </c>
      <c r="D24" s="36"/>
    </row>
    <row r="25" ht="15.75" customHeight="1">
      <c r="A25" s="32">
        <v>4.0</v>
      </c>
      <c r="B25" s="33" t="s">
        <v>93</v>
      </c>
      <c r="C25" s="40" t="s">
        <v>33</v>
      </c>
      <c r="D25" s="36"/>
    </row>
    <row r="26" ht="15.75" customHeight="1">
      <c r="A26" s="37">
        <v>5.0</v>
      </c>
      <c r="B26" s="39" t="s">
        <v>94</v>
      </c>
      <c r="C26" s="40" t="s">
        <v>33</v>
      </c>
      <c r="D26" s="50"/>
    </row>
    <row r="27" ht="15.75" customHeight="1">
      <c r="A27" s="41" t="s">
        <v>57</v>
      </c>
      <c r="C27" s="31">
        <f>COUNTA('LISTA DE COMPROBACION - CU0-0'!$C$22:$C$26)</f>
        <v>5</v>
      </c>
      <c r="D27" s="31">
        <f>COUNTA('LISTA DE COMPROBACION - CU0-0'!$D$22:$D$26)</f>
        <v>0</v>
      </c>
    </row>
    <row r="28" ht="15.75" customHeight="1">
      <c r="A28" s="41" t="s">
        <v>81</v>
      </c>
      <c r="C28" s="43">
        <f t="shared" ref="C28:D28" si="2">C27/5</f>
        <v>1</v>
      </c>
      <c r="D28" s="43">
        <f t="shared" si="2"/>
        <v>0</v>
      </c>
    </row>
    <row r="29" ht="15.75" customHeight="1">
      <c r="A29" s="41"/>
      <c r="B29" s="41"/>
      <c r="C29" s="43"/>
    </row>
    <row r="30" ht="15.75" customHeight="1">
      <c r="A30" s="24" t="s">
        <v>95</v>
      </c>
    </row>
    <row r="31" ht="15.75" customHeight="1">
      <c r="A31" s="46" t="s">
        <v>24</v>
      </c>
      <c r="B31" s="47" t="s">
        <v>26</v>
      </c>
      <c r="C31" s="48" t="s">
        <v>28</v>
      </c>
      <c r="D31" s="49" t="s">
        <v>29</v>
      </c>
    </row>
    <row r="32" ht="15.75" customHeight="1">
      <c r="A32" s="32">
        <v>1.0</v>
      </c>
      <c r="B32" s="33" t="s">
        <v>96</v>
      </c>
      <c r="C32" s="40" t="s">
        <v>33</v>
      </c>
      <c r="D32" s="40"/>
    </row>
    <row r="33" ht="15.75" customHeight="1">
      <c r="A33" s="32">
        <v>2.0</v>
      </c>
      <c r="B33" s="33" t="s">
        <v>97</v>
      </c>
      <c r="C33" s="40" t="s">
        <v>33</v>
      </c>
      <c r="D33" s="40"/>
    </row>
    <row r="34" ht="15.75" customHeight="1">
      <c r="A34" s="37">
        <v>3.0</v>
      </c>
      <c r="B34" s="39" t="s">
        <v>98</v>
      </c>
      <c r="C34" s="40" t="s">
        <v>33</v>
      </c>
      <c r="D34" s="40"/>
    </row>
    <row r="35" ht="15.75" customHeight="1">
      <c r="A35" s="41" t="s">
        <v>57</v>
      </c>
      <c r="C35" s="31">
        <f>COUNTA('LISTA DE COMPROBACION - CU0-0'!$C$32:$C$34)</f>
        <v>3</v>
      </c>
      <c r="D35" s="31">
        <f>COUNTA('LISTA DE COMPROBACION - CU0-0'!$D$32:$D$34)</f>
        <v>0</v>
      </c>
    </row>
    <row r="36" ht="15.75" customHeight="1">
      <c r="A36" s="41" t="s">
        <v>81</v>
      </c>
      <c r="C36" s="43">
        <f t="shared" ref="C36:D36" si="3">C35/3</f>
        <v>1</v>
      </c>
      <c r="D36" s="43">
        <f t="shared" si="3"/>
        <v>0</v>
      </c>
    </row>
    <row r="37" ht="14.25" customHeight="1"/>
    <row r="38" ht="14.25" customHeight="1"/>
    <row r="39" ht="14.25" customHeight="1"/>
    <row r="40" ht="15.75" customHeight="1">
      <c r="A40" s="51" t="s">
        <v>99</v>
      </c>
    </row>
    <row r="41" ht="15.75" customHeight="1">
      <c r="B41" s="14" t="s">
        <v>100</v>
      </c>
      <c r="C41" s="31">
        <v>89.0</v>
      </c>
    </row>
    <row r="42" ht="15.75" customHeight="1">
      <c r="B42" s="14" t="s">
        <v>89</v>
      </c>
      <c r="C42" s="31">
        <v>100.0</v>
      </c>
    </row>
    <row r="43" ht="15.75"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6.71"/>
    <col customWidth="1" min="3" max="3" width="26.71"/>
    <col customWidth="1" min="4" max="4" width="20.0"/>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21">
        <v>46300.0</v>
      </c>
    </row>
    <row r="3" ht="17.25" customHeight="1">
      <c r="B3" s="20" t="s">
        <v>18</v>
      </c>
      <c r="C3" s="22" t="s">
        <v>19</v>
      </c>
    </row>
    <row r="4" ht="17.25" customHeight="1">
      <c r="B4" s="20" t="s">
        <v>20</v>
      </c>
      <c r="C4" s="22" t="s">
        <v>10</v>
      </c>
    </row>
    <row r="5" ht="14.25" customHeight="1"/>
    <row r="6" ht="14.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53</v>
      </c>
    </row>
    <row r="15" ht="14.25" customHeight="1">
      <c r="A15" s="32">
        <v>8.0</v>
      </c>
      <c r="B15" s="33" t="s">
        <v>51</v>
      </c>
      <c r="C15" s="34" t="s">
        <v>33</v>
      </c>
      <c r="D15" s="36"/>
    </row>
    <row r="16" ht="14.25" customHeight="1">
      <c r="A16" s="37">
        <v>9.0</v>
      </c>
      <c r="B16" s="39" t="s">
        <v>54</v>
      </c>
      <c r="C16" s="40" t="s">
        <v>53</v>
      </c>
      <c r="D16" s="40"/>
    </row>
    <row r="17" ht="14.25" customHeight="1">
      <c r="A17" s="41" t="s">
        <v>57</v>
      </c>
      <c r="C17" s="31">
        <f>COUNTA('LISTA DE COMPROBACION - CU0-1'!$C$8:$C$16)</f>
        <v>8</v>
      </c>
      <c r="D17" s="31">
        <f>COUNTA('LISTA DE COMPROBACION - CU0-1'!$D$8:$D$16)</f>
        <v>1</v>
      </c>
    </row>
    <row r="18" ht="14.25" customHeight="1">
      <c r="A18" s="41" t="s">
        <v>81</v>
      </c>
      <c r="C18" s="43">
        <f t="shared" ref="C18:D18" si="1">C17/9</f>
        <v>0.8888888889</v>
      </c>
      <c r="D18" s="43">
        <f t="shared" si="1"/>
        <v>0.1111111111</v>
      </c>
    </row>
    <row r="19" ht="14.25" customHeight="1">
      <c r="A19" s="41"/>
      <c r="B19" s="41"/>
      <c r="C19" s="43"/>
    </row>
    <row r="20" ht="14.25" customHeight="1">
      <c r="A20" s="44" t="s">
        <v>89</v>
      </c>
      <c r="B20" s="45"/>
      <c r="C20" s="45"/>
      <c r="D20" s="45"/>
    </row>
    <row r="21" ht="15.75" customHeight="1">
      <c r="A21" s="46" t="s">
        <v>24</v>
      </c>
      <c r="B21" s="47" t="s">
        <v>26</v>
      </c>
      <c r="C21" s="48" t="s">
        <v>28</v>
      </c>
      <c r="D21" s="49" t="s">
        <v>29</v>
      </c>
    </row>
    <row r="22" ht="15.75" customHeight="1">
      <c r="A22" s="32">
        <v>1.0</v>
      </c>
      <c r="B22" s="33" t="s">
        <v>90</v>
      </c>
      <c r="C22" s="40" t="s">
        <v>33</v>
      </c>
      <c r="D22" s="36"/>
    </row>
    <row r="23" ht="15.75" customHeight="1">
      <c r="A23" s="32">
        <v>2.0</v>
      </c>
      <c r="B23" s="33" t="s">
        <v>91</v>
      </c>
      <c r="C23" s="40" t="s">
        <v>33</v>
      </c>
      <c r="D23" s="36"/>
    </row>
    <row r="24" ht="15.75" customHeight="1">
      <c r="A24" s="32">
        <v>3.0</v>
      </c>
      <c r="B24" s="33" t="s">
        <v>92</v>
      </c>
      <c r="C24" s="40" t="s">
        <v>33</v>
      </c>
      <c r="D24" s="36"/>
    </row>
    <row r="25" ht="15.75" customHeight="1">
      <c r="A25" s="32">
        <v>4.0</v>
      </c>
      <c r="B25" s="33" t="s">
        <v>93</v>
      </c>
      <c r="C25" s="40" t="s">
        <v>33</v>
      </c>
      <c r="D25" s="36"/>
    </row>
    <row r="26" ht="15.75" customHeight="1">
      <c r="A26" s="37">
        <v>5.0</v>
      </c>
      <c r="B26" s="39" t="s">
        <v>94</v>
      </c>
      <c r="C26" s="40" t="s">
        <v>33</v>
      </c>
      <c r="D26" s="50"/>
    </row>
    <row r="27" ht="15.75" customHeight="1">
      <c r="A27" s="41" t="s">
        <v>57</v>
      </c>
      <c r="C27" s="31">
        <f>COUNTA('LISTA DE COMPROBACION - CU0-1'!$C$22:$C$26)</f>
        <v>5</v>
      </c>
      <c r="D27" s="31">
        <f>COUNTA('LISTA DE COMPROBACION - CU0-1'!$D$22:$D$26)</f>
        <v>0</v>
      </c>
    </row>
    <row r="28" ht="15.75" customHeight="1">
      <c r="A28" s="41" t="s">
        <v>81</v>
      </c>
      <c r="C28" s="43">
        <f t="shared" ref="C28:D28" si="2">C27/5</f>
        <v>1</v>
      </c>
      <c r="D28" s="43">
        <f t="shared" si="2"/>
        <v>0</v>
      </c>
    </row>
    <row r="29" ht="15.75" customHeight="1">
      <c r="A29" s="41"/>
      <c r="B29" s="41"/>
      <c r="C29" s="43"/>
    </row>
    <row r="30" ht="15.75" customHeight="1">
      <c r="A30" s="24" t="s">
        <v>95</v>
      </c>
    </row>
    <row r="31" ht="15.75" customHeight="1">
      <c r="A31" s="46" t="s">
        <v>24</v>
      </c>
      <c r="B31" s="47" t="s">
        <v>26</v>
      </c>
      <c r="C31" s="48" t="s">
        <v>28</v>
      </c>
      <c r="D31" s="49" t="s">
        <v>29</v>
      </c>
    </row>
    <row r="32" ht="15.75" customHeight="1">
      <c r="A32" s="32">
        <v>1.0</v>
      </c>
      <c r="B32" s="33" t="s">
        <v>96</v>
      </c>
      <c r="C32" s="40" t="s">
        <v>33</v>
      </c>
      <c r="D32" s="40"/>
    </row>
    <row r="33" ht="15.75" customHeight="1">
      <c r="A33" s="32">
        <v>2.0</v>
      </c>
      <c r="B33" s="33" t="s">
        <v>97</v>
      </c>
      <c r="C33" s="40" t="s">
        <v>33</v>
      </c>
      <c r="D33" s="40"/>
    </row>
    <row r="34" ht="15.75" customHeight="1">
      <c r="A34" s="37">
        <v>3.0</v>
      </c>
      <c r="B34" s="39" t="s">
        <v>98</v>
      </c>
      <c r="C34" s="40" t="s">
        <v>33</v>
      </c>
      <c r="D34" s="40"/>
    </row>
    <row r="35" ht="15.75" customHeight="1">
      <c r="A35" s="41" t="s">
        <v>57</v>
      </c>
      <c r="C35" s="31">
        <f>COUNTA('LISTA DE COMPROBACION - CU0-1'!$C$32:$C$34)</f>
        <v>3</v>
      </c>
      <c r="D35" s="31">
        <f>COUNTA('LISTA DE COMPROBACION - CU0-1'!$D$32:$D$34)</f>
        <v>0</v>
      </c>
    </row>
    <row r="36" ht="15.75" customHeight="1">
      <c r="A36" s="41" t="s">
        <v>81</v>
      </c>
      <c r="C36" s="43">
        <f t="shared" ref="C36:D36" si="3">C35/3</f>
        <v>1</v>
      </c>
      <c r="D36" s="43">
        <f t="shared" si="3"/>
        <v>0</v>
      </c>
    </row>
    <row r="37" ht="14.25" customHeight="1"/>
    <row r="38" ht="14.25" customHeight="1"/>
    <row r="39" ht="14.25" customHeight="1"/>
    <row r="40" ht="15.75" customHeight="1">
      <c r="A40" s="51" t="s">
        <v>99</v>
      </c>
    </row>
    <row r="41" ht="15.75" customHeight="1">
      <c r="B41" s="14" t="s">
        <v>100</v>
      </c>
      <c r="C41" s="31">
        <v>89.0</v>
      </c>
    </row>
    <row r="42" ht="15.75" customHeight="1">
      <c r="B42" s="14" t="s">
        <v>89</v>
      </c>
      <c r="C42" s="31">
        <v>100.0</v>
      </c>
    </row>
    <row r="43" ht="15.75"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45.57"/>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29.25" customHeight="1">
      <c r="B2" s="20" t="s">
        <v>17</v>
      </c>
      <c r="C2" s="21">
        <v>46306.0</v>
      </c>
    </row>
    <row r="3" ht="23.25" customHeight="1">
      <c r="B3" s="20" t="s">
        <v>18</v>
      </c>
      <c r="C3" s="22" t="s">
        <v>21</v>
      </c>
    </row>
    <row r="4" ht="21.0" customHeight="1">
      <c r="B4" s="20" t="s">
        <v>20</v>
      </c>
      <c r="C4" s="22" t="s">
        <v>11</v>
      </c>
    </row>
    <row r="5" ht="14.25" customHeight="1"/>
    <row r="6" ht="41.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28.5" customHeight="1">
      <c r="A16" s="37">
        <v>9.0</v>
      </c>
      <c r="B16" s="39" t="s">
        <v>54</v>
      </c>
      <c r="C16" s="40"/>
      <c r="D16" s="40" t="s">
        <v>33</v>
      </c>
    </row>
    <row r="17" ht="14.25" customHeight="1">
      <c r="A17" s="41" t="s">
        <v>57</v>
      </c>
      <c r="C17" s="31">
        <f>COUNTA('LISTA DE COMPROBACION - CU0-2'!$C$8:$C$16)</f>
        <v>7</v>
      </c>
      <c r="D17" s="31">
        <f>COUNTA('LISTA DE COMPROBACION - CU0-2'!$D$8:$D$16)</f>
        <v>2</v>
      </c>
    </row>
    <row r="18" ht="14.25" customHeight="1">
      <c r="A18" s="41" t="s">
        <v>81</v>
      </c>
      <c r="C18" s="43">
        <f t="shared" ref="C18:D18" si="1">C17/9</f>
        <v>0.7777777778</v>
      </c>
      <c r="D18" s="43">
        <f t="shared" si="1"/>
        <v>0.2222222222</v>
      </c>
    </row>
    <row r="19" ht="14.25" customHeight="1">
      <c r="A19" s="41"/>
      <c r="B19" s="41"/>
      <c r="C19" s="43"/>
    </row>
    <row r="20" ht="55.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row>
    <row r="25" ht="14.25" customHeight="1">
      <c r="A25" s="32">
        <v>4.0</v>
      </c>
      <c r="B25" s="33" t="s">
        <v>93</v>
      </c>
      <c r="C25" s="40"/>
      <c r="D25" s="36" t="s">
        <v>33</v>
      </c>
    </row>
    <row r="26" ht="14.25" customHeight="1">
      <c r="A26" s="37">
        <v>5.0</v>
      </c>
      <c r="B26" s="39" t="s">
        <v>94</v>
      </c>
      <c r="C26" s="40" t="s">
        <v>33</v>
      </c>
      <c r="D26" s="50"/>
    </row>
    <row r="27" ht="32.25" customHeight="1">
      <c r="A27" s="41" t="s">
        <v>57</v>
      </c>
      <c r="C27" s="31">
        <f>COUNTA('LISTA DE COMPROBACION - CU0-2'!$C$22:$C$26)</f>
        <v>4</v>
      </c>
      <c r="D27" s="31">
        <f>COUNTA('LISTA DE COMPROBACION - CU0-2'!$D$22:$D$26)</f>
        <v>1</v>
      </c>
    </row>
    <row r="28" ht="14.25" customHeight="1">
      <c r="A28" s="41" t="s">
        <v>81</v>
      </c>
      <c r="C28" s="43">
        <f t="shared" ref="C28:D28" si="2">C27/5</f>
        <v>0.8</v>
      </c>
      <c r="D28" s="43">
        <f t="shared" si="2"/>
        <v>0.2</v>
      </c>
    </row>
    <row r="29" ht="14.25" customHeight="1">
      <c r="A29" s="41"/>
      <c r="B29" s="41"/>
      <c r="C29" s="43"/>
    </row>
    <row r="30" ht="48.75" customHeight="1">
      <c r="A30" s="24" t="s">
        <v>95</v>
      </c>
    </row>
    <row r="31" ht="14.25" customHeight="1">
      <c r="A31" s="46" t="s">
        <v>24</v>
      </c>
      <c r="B31" s="47" t="s">
        <v>26</v>
      </c>
      <c r="C31" s="48" t="s">
        <v>28</v>
      </c>
      <c r="D31" s="49" t="s">
        <v>29</v>
      </c>
    </row>
    <row r="32" ht="14.25" customHeight="1">
      <c r="A32" s="32">
        <v>1.0</v>
      </c>
      <c r="B32" s="33" t="s">
        <v>96</v>
      </c>
      <c r="C32" s="31"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CU0-2'!$C$32:$C$34)</f>
        <v>3</v>
      </c>
      <c r="D35" s="31">
        <f>COUNTA('LISTA DE COMPROBACION - CU0-2'!$D$32:$D$34)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3:C34 D32:D34">
    <cfRule type="containsText" dxfId="2" priority="2" operator="containsText" text="X">
      <formula>NOT(ISERROR(SEARCH(("X"),(C8))))</formula>
    </cfRule>
  </conditionalFormatting>
  <conditionalFormatting sqref="C8:D16 C22:C26 C33:C34 D32:D34">
    <cfRule type="containsText" dxfId="3" priority="3" operator="containsText" text="X">
      <formula>NOT(ISERROR(SEARCH(("X"),(C8))))</formula>
    </cfRule>
  </conditionalFormatting>
  <conditionalFormatting sqref="C8:D16 C22:D26 C33:C34 D32:D34">
    <cfRule type="containsText" dxfId="1" priority="4" operator="containsText" text="X">
      <formula>NOT(ISERROR(SEARCH(("X"),(C8))))</formula>
    </cfRule>
  </conditionalFormatting>
  <conditionalFormatting sqref="C8:D16 C22:D26 C32:D34">
    <cfRule type="containsText" dxfId="4" priority="5" operator="containsText" text="X">
      <formula>NOT(ISERROR(SEARCH(("X"),(C8))))</formula>
    </cfRule>
  </conditionalFormatting>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16.14"/>
    <col customWidth="1" min="4" max="4" width="45.71"/>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29.25" customHeight="1">
      <c r="B2" s="20" t="s">
        <v>17</v>
      </c>
      <c r="C2" s="21">
        <v>46306.0</v>
      </c>
    </row>
    <row r="3" ht="23.25" customHeight="1">
      <c r="B3" s="20" t="s">
        <v>18</v>
      </c>
      <c r="C3" s="22" t="s">
        <v>21</v>
      </c>
    </row>
    <row r="4" ht="21.0" customHeight="1">
      <c r="B4" s="20" t="s">
        <v>20</v>
      </c>
      <c r="C4" s="22" t="s">
        <v>12</v>
      </c>
    </row>
    <row r="5" ht="14.25" customHeight="1"/>
    <row r="6" ht="41.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t="s">
        <v>33</v>
      </c>
      <c r="D14" s="34"/>
    </row>
    <row r="15" ht="14.25" customHeight="1">
      <c r="A15" s="32">
        <v>8.0</v>
      </c>
      <c r="B15" s="33" t="s">
        <v>51</v>
      </c>
      <c r="C15" s="34" t="s">
        <v>33</v>
      </c>
      <c r="D15" s="36"/>
    </row>
    <row r="16" ht="28.5" customHeight="1">
      <c r="A16" s="37">
        <v>9.0</v>
      </c>
      <c r="B16" s="39" t="s">
        <v>54</v>
      </c>
      <c r="C16" s="40"/>
      <c r="D16" s="40" t="s">
        <v>33</v>
      </c>
    </row>
    <row r="17" ht="14.25" customHeight="1">
      <c r="A17" s="41" t="s">
        <v>57</v>
      </c>
      <c r="C17" s="31">
        <f>COUNTA('LISTA DE COMPROBACION - CU0-3'!$C$8:$C$16)</f>
        <v>8</v>
      </c>
      <c r="D17" s="31">
        <f>COUNTA('LISTA DE COMPROBACION - CU0-3'!$D$8:$D$16)</f>
        <v>1</v>
      </c>
    </row>
    <row r="18" ht="14.25" customHeight="1">
      <c r="A18" s="41" t="s">
        <v>81</v>
      </c>
      <c r="C18" s="43">
        <f t="shared" ref="C18:D18" si="1">C17/9</f>
        <v>0.8888888889</v>
      </c>
      <c r="D18" s="43">
        <f t="shared" si="1"/>
        <v>0.1111111111</v>
      </c>
    </row>
    <row r="19" ht="14.25" customHeight="1">
      <c r="A19" s="41"/>
      <c r="B19" s="41"/>
      <c r="C19" s="43"/>
    </row>
    <row r="20" ht="55.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row>
    <row r="25" ht="14.25" customHeight="1">
      <c r="A25" s="32">
        <v>4.0</v>
      </c>
      <c r="B25" s="33" t="s">
        <v>93</v>
      </c>
      <c r="C25" s="40" t="s">
        <v>33</v>
      </c>
      <c r="D25" s="36"/>
    </row>
    <row r="26" ht="14.25" customHeight="1">
      <c r="A26" s="37">
        <v>5.0</v>
      </c>
      <c r="B26" s="39" t="s">
        <v>94</v>
      </c>
      <c r="C26" s="40" t="s">
        <v>33</v>
      </c>
      <c r="D26" s="50"/>
    </row>
    <row r="27" ht="32.25" customHeight="1">
      <c r="A27" s="41" t="s">
        <v>57</v>
      </c>
      <c r="C27" s="31">
        <f>COUNTA('LISTA DE COMPROBACION - CU0-3'!$C$22:$C$26)</f>
        <v>5</v>
      </c>
      <c r="D27" s="31">
        <f>COUNTA('LISTA DE COMPROBACION - CU0-3'!$D$22:$D$26)</f>
        <v>0</v>
      </c>
    </row>
    <row r="28" ht="14.25" customHeight="1">
      <c r="A28" s="41" t="s">
        <v>81</v>
      </c>
      <c r="C28" s="43">
        <f t="shared" ref="C28:D28" si="2">C27/5</f>
        <v>1</v>
      </c>
      <c r="D28" s="43">
        <f t="shared" si="2"/>
        <v>0</v>
      </c>
    </row>
    <row r="29" ht="14.25" customHeight="1">
      <c r="A29" s="41"/>
      <c r="B29" s="41"/>
      <c r="C29" s="43"/>
    </row>
    <row r="30" ht="48.75" customHeight="1">
      <c r="A30" s="24" t="s">
        <v>95</v>
      </c>
    </row>
    <row r="31" ht="14.25" customHeight="1">
      <c r="A31" s="46" t="s">
        <v>24</v>
      </c>
      <c r="B31" s="47" t="s">
        <v>26</v>
      </c>
      <c r="C31" s="48" t="s">
        <v>28</v>
      </c>
      <c r="D31" s="49" t="s">
        <v>29</v>
      </c>
    </row>
    <row r="32" ht="14.25" customHeight="1">
      <c r="A32" s="32">
        <v>1.0</v>
      </c>
      <c r="B32" s="33" t="s">
        <v>96</v>
      </c>
      <c r="C32" s="31"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CU0-3'!$C$32:$C$34)</f>
        <v>3</v>
      </c>
      <c r="D35" s="31">
        <f>COUNTA('LISTA DE COMPROBACION - CU0-3'!$D$32:$D$34)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89.0</v>
      </c>
    </row>
    <row r="42" ht="30.0" customHeight="1">
      <c r="B42" s="14" t="s">
        <v>89</v>
      </c>
      <c r="C42" s="31">
        <v>100.0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3:C34 D32:D34">
    <cfRule type="containsText" dxfId="1" priority="2" operator="containsText" text="X">
      <formula>NOT(ISERROR(SEARCH(("X"),(C8))))</formula>
    </cfRule>
  </conditionalFormatting>
  <conditionalFormatting sqref="C8:D16 C22:C26 C33:C34 D32:D34">
    <cfRule type="containsText" dxfId="2" priority="3" operator="containsText" text="X">
      <formula>NOT(ISERROR(SEARCH(("X"),(C8))))</formula>
    </cfRule>
  </conditionalFormatting>
  <conditionalFormatting sqref="C8:D16 C22:C26 C33:C34 D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32:D34">
    <cfRule type="containsText" dxfId="4" priority="7" operator="containsText" text="X">
      <formula>NOT(ISERROR(SEARCH(("X"),(C32))))</formula>
    </cfRule>
  </conditionalFormatting>
  <conditionalFormatting sqref="C8:D16 C22:C26 C33:C34 D32:D34">
    <cfRule type="containsText" dxfId="4" priority="8" operator="containsText" text="X">
      <formula>NOT(ISERROR(SEARCH(("X"),(C8))))</formula>
    </cfRule>
  </conditionalFormatting>
  <printOptions/>
  <pageMargins bottom="0.75" footer="0.0" header="0.0" left="0.7" right="0.7" top="0.75"/>
  <pageSetup paperSize="9" orientation="portrait"/>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21">
        <v>46300.0</v>
      </c>
    </row>
    <row r="3" ht="18.0" customHeight="1">
      <c r="B3" s="20" t="s">
        <v>18</v>
      </c>
      <c r="C3" s="22" t="s">
        <v>101</v>
      </c>
    </row>
    <row r="4" ht="29.25" customHeight="1">
      <c r="B4" s="20" t="s">
        <v>20</v>
      </c>
      <c r="C4" s="22" t="s">
        <v>13</v>
      </c>
    </row>
    <row r="5" ht="14.25" customHeight="1"/>
    <row r="6" ht="21.0" customHeight="1">
      <c r="A6" s="24" t="s">
        <v>22</v>
      </c>
    </row>
    <row r="7" ht="23.25" customHeight="1">
      <c r="A7" s="26" t="s">
        <v>24</v>
      </c>
      <c r="B7" s="28" t="s">
        <v>26</v>
      </c>
      <c r="C7" s="28" t="s">
        <v>28</v>
      </c>
      <c r="D7" s="30" t="s">
        <v>29</v>
      </c>
    </row>
    <row r="8" ht="17.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14.25" customHeight="1">
      <c r="A16" s="37">
        <v>9.0</v>
      </c>
      <c r="B16" s="39" t="s">
        <v>54</v>
      </c>
      <c r="C16" s="40"/>
      <c r="D16" s="40" t="s">
        <v>33</v>
      </c>
    </row>
    <row r="17" ht="14.25" customHeight="1">
      <c r="A17" s="41" t="s">
        <v>57</v>
      </c>
      <c r="C17" s="31">
        <f>COUNTA('LISTA DE COMPROBACION - CU0-4'!$C$8:$C$16)</f>
        <v>7</v>
      </c>
      <c r="D17" s="31">
        <f>COUNTA('LISTA DE COMPROBACION - CU0-4'!$D$8:$D$16)</f>
        <v>2</v>
      </c>
    </row>
    <row r="18" ht="14.25" customHeight="1">
      <c r="A18" s="41" t="s">
        <v>81</v>
      </c>
      <c r="C18" s="43">
        <f t="shared" ref="C18:D18" si="1">C17/9</f>
        <v>0.7777777778</v>
      </c>
      <c r="D18" s="43">
        <f t="shared" si="1"/>
        <v>0.2222222222</v>
      </c>
    </row>
    <row r="19" ht="14.25" customHeight="1">
      <c r="A19" s="41"/>
      <c r="B19" s="41"/>
      <c r="C19" s="43"/>
    </row>
    <row r="20" ht="14.2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c r="D24" s="36"/>
    </row>
    <row r="25" ht="14.25" customHeight="1">
      <c r="A25" s="32">
        <v>4.0</v>
      </c>
      <c r="B25" s="33" t="s">
        <v>93</v>
      </c>
      <c r="C25" s="40"/>
      <c r="D25" s="36" t="s">
        <v>33</v>
      </c>
    </row>
    <row r="26" ht="14.25" customHeight="1">
      <c r="A26" s="37">
        <v>5.0</v>
      </c>
      <c r="B26" s="39" t="s">
        <v>94</v>
      </c>
      <c r="C26" s="40" t="s">
        <v>33</v>
      </c>
      <c r="D26" s="50"/>
    </row>
    <row r="27" ht="14.25" customHeight="1">
      <c r="A27" s="41" t="s">
        <v>57</v>
      </c>
      <c r="C27" s="31">
        <f>COUNTA('LISTA DE COMPROBACION - CU0-4'!$C$22:$C$26)</f>
        <v>4</v>
      </c>
      <c r="D27" s="31">
        <f>COUNTA('LISTA DE COMPROBACION - CU0-4'!$D$22:$D$26)</f>
        <v>1</v>
      </c>
    </row>
    <row r="28" ht="14.25" customHeight="1">
      <c r="A28" s="41" t="s">
        <v>81</v>
      </c>
      <c r="C28" s="43">
        <f t="shared" ref="C28:D28" si="2">C27/5</f>
        <v>0.8</v>
      </c>
      <c r="D28" s="43">
        <f t="shared" si="2"/>
        <v>0.2</v>
      </c>
    </row>
    <row r="29" ht="14.25" customHeight="1">
      <c r="A29" s="41"/>
      <c r="B29" s="41"/>
      <c r="C29" s="43"/>
    </row>
    <row r="30" ht="14.25" customHeight="1">
      <c r="A30" s="24" t="s">
        <v>95</v>
      </c>
    </row>
    <row r="31" ht="14.25" customHeight="1">
      <c r="A31" s="46" t="s">
        <v>24</v>
      </c>
      <c r="B31" s="47" t="s">
        <v>26</v>
      </c>
      <c r="C31" s="48" t="s">
        <v>28</v>
      </c>
      <c r="D31" s="49" t="s">
        <v>29</v>
      </c>
    </row>
    <row r="32" ht="14.25" customHeight="1">
      <c r="A32" s="32">
        <v>1.0</v>
      </c>
      <c r="B32" s="33" t="s">
        <v>96</v>
      </c>
      <c r="C32" s="40"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CU0-4'!$C$32:$C$34)</f>
        <v>3</v>
      </c>
      <c r="D35" s="31">
        <f>COUNTA('LISTA DE COMPROBACION - CU0-4'!$D$32:$D$34)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50.0"/>
    <col customWidth="1" min="3" max="3" width="16.14"/>
    <col customWidth="1" min="4" max="4" width="28.29"/>
    <col customWidth="1" min="5"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29.25" customHeight="1">
      <c r="B2" s="20" t="s">
        <v>17</v>
      </c>
      <c r="C2" s="21">
        <v>46306.0</v>
      </c>
    </row>
    <row r="3" ht="23.25" customHeight="1">
      <c r="B3" s="20" t="s">
        <v>18</v>
      </c>
      <c r="C3" s="22" t="s">
        <v>21</v>
      </c>
    </row>
    <row r="4" ht="21.0" customHeight="1">
      <c r="B4" s="20" t="s">
        <v>20</v>
      </c>
      <c r="C4" s="22" t="s">
        <v>14</v>
      </c>
    </row>
    <row r="5" ht="14.25" customHeight="1"/>
    <row r="6" ht="41.25" customHeight="1">
      <c r="A6" s="24" t="s">
        <v>22</v>
      </c>
    </row>
    <row r="7" ht="14.25" customHeight="1">
      <c r="A7" s="26" t="s">
        <v>24</v>
      </c>
      <c r="B7" s="28" t="s">
        <v>26</v>
      </c>
      <c r="C7" s="28" t="s">
        <v>28</v>
      </c>
      <c r="D7" s="30" t="s">
        <v>29</v>
      </c>
    </row>
    <row r="8" ht="14.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28.5" customHeight="1">
      <c r="A16" s="37">
        <v>9.0</v>
      </c>
      <c r="B16" s="39" t="s">
        <v>54</v>
      </c>
      <c r="C16" s="40"/>
      <c r="D16" s="40" t="s">
        <v>33</v>
      </c>
    </row>
    <row r="17" ht="14.25" customHeight="1">
      <c r="A17" s="41" t="s">
        <v>57</v>
      </c>
      <c r="C17" s="31">
        <f>COUNTA('LISTA DE COMPROBACION - CU0-5'!$C$8:$C$16)</f>
        <v>7</v>
      </c>
      <c r="D17" s="31">
        <f>COUNTA('LISTA DE COMPROBACION - CU0-5'!$D$8:$D$16)</f>
        <v>2</v>
      </c>
    </row>
    <row r="18" ht="14.25" customHeight="1">
      <c r="A18" s="41" t="s">
        <v>81</v>
      </c>
      <c r="C18" s="43">
        <f t="shared" ref="C18:D18" si="1">C17/9</f>
        <v>0.7777777778</v>
      </c>
      <c r="D18" s="43">
        <f t="shared" si="1"/>
        <v>0.2222222222</v>
      </c>
    </row>
    <row r="19" ht="14.25" customHeight="1">
      <c r="A19" s="41"/>
      <c r="B19" s="41"/>
      <c r="C19" s="43"/>
    </row>
    <row r="20" ht="55.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row>
    <row r="25" ht="14.25" customHeight="1">
      <c r="A25" s="32">
        <v>4.0</v>
      </c>
      <c r="B25" s="33" t="s">
        <v>93</v>
      </c>
      <c r="C25" s="40" t="s">
        <v>33</v>
      </c>
      <c r="D25" s="36"/>
    </row>
    <row r="26" ht="14.25" customHeight="1">
      <c r="A26" s="37">
        <v>5.0</v>
      </c>
      <c r="B26" s="39" t="s">
        <v>94</v>
      </c>
      <c r="C26" s="40" t="s">
        <v>33</v>
      </c>
      <c r="D26" s="50"/>
    </row>
    <row r="27" ht="32.25" customHeight="1">
      <c r="A27" s="41" t="s">
        <v>57</v>
      </c>
      <c r="C27" s="31">
        <f>COUNTA('LISTA DE COMPROBACION - CU0-5'!$C$22:$C$26)</f>
        <v>5</v>
      </c>
      <c r="D27" s="31">
        <f>COUNTA('LISTA DE COMPROBACION - CU0-5'!$D$22:$D$26)</f>
        <v>0</v>
      </c>
    </row>
    <row r="28" ht="14.25" customHeight="1">
      <c r="A28" s="41" t="s">
        <v>81</v>
      </c>
      <c r="C28" s="43">
        <f t="shared" ref="C28:D28" si="2">C27/5</f>
        <v>1</v>
      </c>
      <c r="D28" s="43">
        <f t="shared" si="2"/>
        <v>0</v>
      </c>
    </row>
    <row r="29" ht="14.25" customHeight="1">
      <c r="A29" s="41"/>
      <c r="B29" s="41"/>
      <c r="C29" s="43"/>
    </row>
    <row r="30" ht="48.75" customHeight="1">
      <c r="A30" s="24" t="s">
        <v>95</v>
      </c>
    </row>
    <row r="31" ht="14.25" customHeight="1">
      <c r="A31" s="46" t="s">
        <v>24</v>
      </c>
      <c r="B31" s="47" t="s">
        <v>26</v>
      </c>
      <c r="C31" s="48" t="s">
        <v>28</v>
      </c>
      <c r="D31" s="49" t="s">
        <v>29</v>
      </c>
    </row>
    <row r="32" ht="14.25" customHeight="1">
      <c r="A32" s="32">
        <v>1.0</v>
      </c>
      <c r="B32" s="33" t="s">
        <v>96</v>
      </c>
      <c r="C32" s="31"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CU0-5'!$C$32:$C$34)</f>
        <v>3</v>
      </c>
      <c r="D35" s="31">
        <f>COUNTA('LISTA DE COMPROBACION - CU0-5'!$D$32:$D$34)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100.0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3:C34 D32:D34">
    <cfRule type="containsText" dxfId="2" priority="2" operator="containsText" text="X">
      <formula>NOT(ISERROR(SEARCH(("X"),(C8))))</formula>
    </cfRule>
  </conditionalFormatting>
  <conditionalFormatting sqref="C8:D16 C22:C26 C33:C34 D32:D34">
    <cfRule type="containsText" dxfId="3" priority="3" operator="containsText" text="X">
      <formula>NOT(ISERROR(SEARCH(("X"),(C8))))</formula>
    </cfRule>
  </conditionalFormatting>
  <conditionalFormatting sqref="C8:D16 C22:D26 C33:C34 D32:D34">
    <cfRule type="containsText" dxfId="1" priority="4" operator="containsText" text="X">
      <formula>NOT(ISERROR(SEARCH(("X"),(C8))))</formula>
    </cfRule>
  </conditionalFormatting>
  <conditionalFormatting sqref="C8:D16 C22:D26 C32:D34">
    <cfRule type="containsText" dxfId="4" priority="5" operator="containsText" text="X">
      <formula>NOT(ISERROR(SEARCH(("X"),(C8))))</formula>
    </cfRule>
  </conditionalFormatting>
  <printOptions/>
  <pageMargins bottom="0.75" footer="0.0" header="0.0" left="0.7" right="0.7" top="0.75"/>
  <pageSetup paperSize="9" orientation="portrait"/>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52">
        <v>46303.0</v>
      </c>
    </row>
    <row r="3" ht="18.0" customHeight="1">
      <c r="B3" s="20" t="s">
        <v>18</v>
      </c>
      <c r="C3" s="22" t="s">
        <v>101</v>
      </c>
    </row>
    <row r="4" ht="29.25" customHeight="1">
      <c r="B4" s="20" t="s">
        <v>20</v>
      </c>
      <c r="C4" s="53" t="s">
        <v>15</v>
      </c>
    </row>
    <row r="5" ht="14.25" customHeight="1"/>
    <row r="6" ht="21.0" customHeight="1">
      <c r="A6" s="24" t="s">
        <v>22</v>
      </c>
    </row>
    <row r="7" ht="23.25" customHeight="1">
      <c r="A7" s="26" t="s">
        <v>24</v>
      </c>
      <c r="B7" s="28" t="s">
        <v>26</v>
      </c>
      <c r="C7" s="28" t="s">
        <v>28</v>
      </c>
      <c r="D7" s="30" t="s">
        <v>29</v>
      </c>
    </row>
    <row r="8" ht="17.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14.25" customHeight="1">
      <c r="A16" s="37">
        <v>9.0</v>
      </c>
      <c r="B16" s="39" t="s">
        <v>54</v>
      </c>
      <c r="C16" s="40"/>
      <c r="D16" s="40" t="s">
        <v>33</v>
      </c>
    </row>
    <row r="17" ht="14.25" customHeight="1">
      <c r="A17" s="41" t="s">
        <v>57</v>
      </c>
      <c r="C17" s="31">
        <f>COUNTA('LISTA DE COMPROBACION - CU0-6'!$C$8:$C$16)</f>
        <v>7</v>
      </c>
      <c r="D17" s="31">
        <f>COUNTA('LISTA DE COMPROBACION - CU0-6'!$D$8:$D$16)</f>
        <v>2</v>
      </c>
    </row>
    <row r="18" ht="14.25" customHeight="1">
      <c r="A18" s="41" t="s">
        <v>81</v>
      </c>
      <c r="C18" s="43">
        <f t="shared" ref="C18:D18" si="1">C17/9</f>
        <v>0.7777777778</v>
      </c>
      <c r="D18" s="43">
        <f t="shared" si="1"/>
        <v>0.2222222222</v>
      </c>
    </row>
    <row r="19" ht="14.25" customHeight="1">
      <c r="A19" s="41"/>
      <c r="B19" s="41"/>
      <c r="C19" s="43"/>
    </row>
    <row r="20" ht="14.2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c r="D24" s="36"/>
    </row>
    <row r="25" ht="14.25" customHeight="1">
      <c r="A25" s="32">
        <v>4.0</v>
      </c>
      <c r="B25" s="33" t="s">
        <v>93</v>
      </c>
      <c r="C25" s="40" t="s">
        <v>33</v>
      </c>
      <c r="D25" s="36"/>
    </row>
    <row r="26" ht="14.25" customHeight="1">
      <c r="A26" s="37">
        <v>5.0</v>
      </c>
      <c r="B26" s="39" t="s">
        <v>94</v>
      </c>
      <c r="C26" s="40" t="s">
        <v>33</v>
      </c>
      <c r="D26" s="50"/>
    </row>
    <row r="27" ht="14.25" customHeight="1">
      <c r="A27" s="41" t="s">
        <v>57</v>
      </c>
      <c r="C27" s="31">
        <f>COUNTA('LISTA DE COMPROBACION - CU0-6'!$C$22:$C$26)</f>
        <v>5</v>
      </c>
      <c r="D27" s="31">
        <f>COUNTA('LISTA DE COMPROBACION - CU0-6'!$D$22:$D$26)</f>
        <v>0</v>
      </c>
    </row>
    <row r="28" ht="14.25" customHeight="1">
      <c r="A28" s="41" t="s">
        <v>81</v>
      </c>
      <c r="C28" s="43">
        <f t="shared" ref="C28:D28" si="2">C27/5</f>
        <v>1</v>
      </c>
      <c r="D28" s="43">
        <f t="shared" si="2"/>
        <v>0</v>
      </c>
    </row>
    <row r="29" ht="14.25" customHeight="1">
      <c r="A29" s="41"/>
      <c r="B29" s="41"/>
      <c r="C29" s="43"/>
    </row>
    <row r="30" ht="14.25" customHeight="1">
      <c r="A30" s="24" t="s">
        <v>95</v>
      </c>
    </row>
    <row r="31" ht="14.25" customHeight="1">
      <c r="A31" s="46" t="s">
        <v>24</v>
      </c>
      <c r="B31" s="47" t="s">
        <v>26</v>
      </c>
      <c r="C31" s="48" t="s">
        <v>28</v>
      </c>
      <c r="D31" s="49" t="s">
        <v>29</v>
      </c>
    </row>
    <row r="32" ht="14.25" customHeight="1">
      <c r="A32" s="32">
        <v>1.0</v>
      </c>
      <c r="B32" s="33" t="s">
        <v>96</v>
      </c>
      <c r="C32" s="40"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CU0-6'!$C$32:$C$34)</f>
        <v>3</v>
      </c>
      <c r="D35" s="31">
        <f>COUNTA('LISTA DE COMPROBACION - CU0-6'!$D$32:$D$34)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71"/>
    <col customWidth="1" min="2" max="2" width="39.86"/>
    <col customWidth="1" min="3" max="3" width="43.29"/>
    <col customWidth="1" min="4" max="24" width="10.71"/>
  </cols>
  <sheetData>
    <row r="1" ht="50.25" customHeight="1">
      <c r="A1" s="14"/>
      <c r="B1" s="15" t="s">
        <v>3</v>
      </c>
      <c r="C1" s="16" t="s">
        <v>4</v>
      </c>
      <c r="E1" s="14"/>
      <c r="F1" s="14"/>
      <c r="G1" s="14"/>
      <c r="H1" s="14"/>
      <c r="I1" s="14"/>
      <c r="J1" s="14"/>
      <c r="K1" s="14"/>
      <c r="L1" s="14"/>
      <c r="M1" s="14"/>
      <c r="N1" s="14"/>
      <c r="O1" s="14"/>
      <c r="P1" s="14"/>
      <c r="Q1" s="14"/>
      <c r="R1" s="14"/>
      <c r="S1" s="14"/>
      <c r="T1" s="14"/>
      <c r="U1" s="14"/>
      <c r="V1" s="14"/>
      <c r="W1" s="14"/>
      <c r="X1" s="14"/>
      <c r="Y1" s="14"/>
      <c r="Z1" s="14"/>
    </row>
    <row r="2" ht="14.25" customHeight="1">
      <c r="B2" s="20" t="s">
        <v>17</v>
      </c>
      <c r="C2" s="52">
        <v>46305.0</v>
      </c>
    </row>
    <row r="3" ht="18.0" customHeight="1">
      <c r="B3" s="20" t="s">
        <v>18</v>
      </c>
      <c r="C3" s="22" t="s">
        <v>101</v>
      </c>
    </row>
    <row r="4" ht="29.25" customHeight="1">
      <c r="B4" s="20" t="s">
        <v>20</v>
      </c>
      <c r="C4" s="53" t="s">
        <v>16</v>
      </c>
    </row>
    <row r="5" ht="14.25" customHeight="1"/>
    <row r="6" ht="21.0" customHeight="1">
      <c r="A6" s="24" t="s">
        <v>22</v>
      </c>
    </row>
    <row r="7" ht="23.25" customHeight="1">
      <c r="A7" s="26" t="s">
        <v>24</v>
      </c>
      <c r="B7" s="28" t="s">
        <v>26</v>
      </c>
      <c r="C7" s="28" t="s">
        <v>28</v>
      </c>
      <c r="D7" s="30" t="s">
        <v>29</v>
      </c>
    </row>
    <row r="8" ht="17.25" customHeight="1">
      <c r="A8" s="32">
        <v>1.0</v>
      </c>
      <c r="B8" s="33" t="s">
        <v>31</v>
      </c>
      <c r="C8" s="34" t="s">
        <v>33</v>
      </c>
      <c r="D8" s="36"/>
    </row>
    <row r="9" ht="14.25" customHeight="1">
      <c r="A9" s="32">
        <v>2.0</v>
      </c>
      <c r="B9" s="33" t="s">
        <v>37</v>
      </c>
      <c r="C9" s="34" t="s">
        <v>33</v>
      </c>
      <c r="D9" s="36"/>
    </row>
    <row r="10" ht="14.25" customHeight="1">
      <c r="A10" s="32">
        <v>3.0</v>
      </c>
      <c r="B10" s="33" t="s">
        <v>40</v>
      </c>
      <c r="C10" s="34" t="s">
        <v>33</v>
      </c>
      <c r="D10" s="36"/>
    </row>
    <row r="11" ht="14.25" customHeight="1">
      <c r="A11" s="32">
        <v>4.0</v>
      </c>
      <c r="B11" s="33" t="s">
        <v>41</v>
      </c>
      <c r="C11" s="34" t="s">
        <v>33</v>
      </c>
      <c r="D11" s="36"/>
    </row>
    <row r="12" ht="14.25" customHeight="1">
      <c r="A12" s="32">
        <v>5.0</v>
      </c>
      <c r="B12" s="33" t="s">
        <v>43</v>
      </c>
      <c r="C12" s="34" t="s">
        <v>33</v>
      </c>
      <c r="D12" s="36"/>
    </row>
    <row r="13" ht="14.25" customHeight="1">
      <c r="A13" s="32">
        <v>6.0</v>
      </c>
      <c r="B13" s="33" t="s">
        <v>47</v>
      </c>
      <c r="C13" s="34" t="s">
        <v>33</v>
      </c>
      <c r="D13" s="36"/>
    </row>
    <row r="14" ht="14.25" customHeight="1">
      <c r="A14" s="32">
        <v>7.0</v>
      </c>
      <c r="B14" s="33" t="s">
        <v>49</v>
      </c>
      <c r="C14" s="34"/>
      <c r="D14" s="34" t="s">
        <v>33</v>
      </c>
    </row>
    <row r="15" ht="14.25" customHeight="1">
      <c r="A15" s="32">
        <v>8.0</v>
      </c>
      <c r="B15" s="33" t="s">
        <v>51</v>
      </c>
      <c r="C15" s="34" t="s">
        <v>33</v>
      </c>
      <c r="D15" s="36"/>
    </row>
    <row r="16" ht="14.25" customHeight="1">
      <c r="A16" s="37">
        <v>9.0</v>
      </c>
      <c r="B16" s="39" t="s">
        <v>54</v>
      </c>
      <c r="C16" s="40"/>
      <c r="D16" s="40" t="s">
        <v>33</v>
      </c>
    </row>
    <row r="17" ht="14.25" customHeight="1">
      <c r="A17" s="41" t="s">
        <v>57</v>
      </c>
      <c r="C17" s="31">
        <f>COUNTA('LISTA DE COMPROBACION - CU0-7'!$C$8:$C$16)</f>
        <v>7</v>
      </c>
      <c r="D17" s="31">
        <f>COUNTA('LISTA DE COMPROBACION - CU0-7'!$D$8:$D$16)</f>
        <v>2</v>
      </c>
    </row>
    <row r="18" ht="14.25" customHeight="1">
      <c r="A18" s="41" t="s">
        <v>81</v>
      </c>
      <c r="C18" s="43">
        <f t="shared" ref="C18:D18" si="1">C17/9</f>
        <v>0.7777777778</v>
      </c>
      <c r="D18" s="43">
        <f t="shared" si="1"/>
        <v>0.2222222222</v>
      </c>
    </row>
    <row r="19" ht="14.25" customHeight="1">
      <c r="A19" s="41"/>
      <c r="B19" s="41"/>
      <c r="C19" s="43"/>
    </row>
    <row r="20" ht="14.25" customHeight="1">
      <c r="A20" s="44" t="s">
        <v>89</v>
      </c>
      <c r="B20" s="45"/>
      <c r="C20" s="45"/>
      <c r="D20" s="45"/>
    </row>
    <row r="21" ht="14.25" customHeight="1">
      <c r="A21" s="46" t="s">
        <v>24</v>
      </c>
      <c r="B21" s="47" t="s">
        <v>26</v>
      </c>
      <c r="C21" s="48" t="s">
        <v>28</v>
      </c>
      <c r="D21" s="49" t="s">
        <v>29</v>
      </c>
    </row>
    <row r="22" ht="14.25" customHeight="1">
      <c r="A22" s="32">
        <v>1.0</v>
      </c>
      <c r="B22" s="33" t="s">
        <v>90</v>
      </c>
      <c r="C22" s="40" t="s">
        <v>33</v>
      </c>
      <c r="D22" s="36"/>
    </row>
    <row r="23" ht="14.25" customHeight="1">
      <c r="A23" s="32">
        <v>2.0</v>
      </c>
      <c r="B23" s="33" t="s">
        <v>91</v>
      </c>
      <c r="C23" s="40" t="s">
        <v>33</v>
      </c>
      <c r="D23" s="36"/>
    </row>
    <row r="24" ht="14.25" customHeight="1">
      <c r="A24" s="32">
        <v>3.0</v>
      </c>
      <c r="B24" s="33" t="s">
        <v>92</v>
      </c>
      <c r="C24" s="40" t="s">
        <v>33</v>
      </c>
      <c r="D24" s="36"/>
    </row>
    <row r="25" ht="14.25" customHeight="1">
      <c r="A25" s="32">
        <v>4.0</v>
      </c>
      <c r="B25" s="33" t="s">
        <v>93</v>
      </c>
      <c r="C25" s="40" t="s">
        <v>33</v>
      </c>
      <c r="D25" s="36"/>
    </row>
    <row r="26" ht="14.25" customHeight="1">
      <c r="A26" s="37">
        <v>5.0</v>
      </c>
      <c r="B26" s="39" t="s">
        <v>94</v>
      </c>
      <c r="C26" s="40" t="s">
        <v>33</v>
      </c>
      <c r="D26" s="50"/>
    </row>
    <row r="27" ht="14.25" customHeight="1">
      <c r="A27" s="41" t="s">
        <v>57</v>
      </c>
      <c r="C27" s="31">
        <f>COUNTA('LISTA DE COMPROBACION - CU0-7'!$C$22:$C$26)</f>
        <v>5</v>
      </c>
      <c r="D27" s="31">
        <f>COUNTA('LISTA DE COMPROBACION - CU0-7'!$D$22:$D$26)</f>
        <v>0</v>
      </c>
    </row>
    <row r="28" ht="14.25" customHeight="1">
      <c r="A28" s="41" t="s">
        <v>81</v>
      </c>
      <c r="C28" s="43">
        <f t="shared" ref="C28:D28" si="2">C27/5</f>
        <v>1</v>
      </c>
      <c r="D28" s="43">
        <f t="shared" si="2"/>
        <v>0</v>
      </c>
    </row>
    <row r="29" ht="14.25" customHeight="1">
      <c r="A29" s="41"/>
      <c r="B29" s="41"/>
      <c r="C29" s="43"/>
    </row>
    <row r="30" ht="14.25" customHeight="1">
      <c r="A30" s="24" t="s">
        <v>95</v>
      </c>
    </row>
    <row r="31" ht="14.25" customHeight="1">
      <c r="A31" s="46" t="s">
        <v>24</v>
      </c>
      <c r="B31" s="47" t="s">
        <v>26</v>
      </c>
      <c r="C31" s="48" t="s">
        <v>28</v>
      </c>
      <c r="D31" s="49" t="s">
        <v>29</v>
      </c>
    </row>
    <row r="32" ht="14.25" customHeight="1">
      <c r="A32" s="32">
        <v>1.0</v>
      </c>
      <c r="B32" s="33" t="s">
        <v>96</v>
      </c>
      <c r="C32" s="40" t="s">
        <v>33</v>
      </c>
      <c r="D32" s="40"/>
    </row>
    <row r="33" ht="14.25" customHeight="1">
      <c r="A33" s="32">
        <v>2.0</v>
      </c>
      <c r="B33" s="33" t="s">
        <v>97</v>
      </c>
      <c r="C33" s="40" t="s">
        <v>33</v>
      </c>
      <c r="D33" s="40"/>
    </row>
    <row r="34" ht="14.25" customHeight="1">
      <c r="A34" s="37">
        <v>3.0</v>
      </c>
      <c r="B34" s="39" t="s">
        <v>98</v>
      </c>
      <c r="C34" s="40" t="s">
        <v>33</v>
      </c>
      <c r="D34" s="40"/>
    </row>
    <row r="35" ht="14.25" customHeight="1">
      <c r="A35" s="41" t="s">
        <v>57</v>
      </c>
      <c r="C35" s="31">
        <f>COUNTA('LISTA DE COMPROBACION - CU0-7'!$C$32:$C$34)</f>
        <v>3</v>
      </c>
      <c r="D35" s="31">
        <f>COUNTA('LISTA DE COMPROBACION - CU0-7'!$D$32:$D$34)</f>
        <v>0</v>
      </c>
    </row>
    <row r="36" ht="14.25" customHeight="1">
      <c r="A36" s="41" t="s">
        <v>81</v>
      </c>
      <c r="C36" s="43">
        <f t="shared" ref="C36:D36" si="3">C35/3</f>
        <v>1</v>
      </c>
      <c r="D36" s="43">
        <f t="shared" si="3"/>
        <v>0</v>
      </c>
    </row>
    <row r="37" ht="14.25" customHeight="1"/>
    <row r="38" ht="14.25" customHeight="1"/>
    <row r="39" ht="14.25" customHeight="1"/>
    <row r="40" ht="14.25" customHeight="1">
      <c r="A40" s="51" t="s">
        <v>99</v>
      </c>
    </row>
    <row r="41" ht="30.0" customHeight="1">
      <c r="B41" s="14" t="s">
        <v>100</v>
      </c>
      <c r="C41" s="31">
        <v>78.0</v>
      </c>
    </row>
    <row r="42" ht="30.0" customHeight="1">
      <c r="B42" s="14" t="s">
        <v>89</v>
      </c>
      <c r="C42" s="31">
        <v>80.0</v>
      </c>
    </row>
    <row r="43" ht="30.0" customHeight="1">
      <c r="B43" s="14" t="s">
        <v>95</v>
      </c>
      <c r="C43" s="31">
        <v>100.0</v>
      </c>
    </row>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4">
    <mergeCell ref="A18:B18"/>
    <mergeCell ref="A27:B27"/>
    <mergeCell ref="A28:B28"/>
    <mergeCell ref="A30:D30"/>
    <mergeCell ref="A35:B35"/>
    <mergeCell ref="A36:B36"/>
    <mergeCell ref="A40:C40"/>
    <mergeCell ref="C1:D1"/>
    <mergeCell ref="C2:D2"/>
    <mergeCell ref="C3:D3"/>
    <mergeCell ref="C4:D4"/>
    <mergeCell ref="A6:D6"/>
    <mergeCell ref="A17:B17"/>
    <mergeCell ref="A20:D20"/>
  </mergeCells>
  <conditionalFormatting sqref="A32:D34">
    <cfRule type="containsText" dxfId="0" priority="1" operator="containsText" text="X">
      <formula>NOT(ISERROR(SEARCH(("X"),(A32))))</formula>
    </cfRule>
  </conditionalFormatting>
  <conditionalFormatting sqref="C8:D16 C22:C26 C32:D34">
    <cfRule type="containsText" dxfId="1" priority="2" operator="containsText" text="X">
      <formula>NOT(ISERROR(SEARCH(("X"),(C8))))</formula>
    </cfRule>
  </conditionalFormatting>
  <conditionalFormatting sqref="C8:D16 C22:C26 C32:D34">
    <cfRule type="containsText" dxfId="2" priority="3" operator="containsText" text="X">
      <formula>NOT(ISERROR(SEARCH(("X"),(C8))))</formula>
    </cfRule>
  </conditionalFormatting>
  <conditionalFormatting sqref="C8:D16 C22:C26 C32:D34">
    <cfRule type="containsText" dxfId="3" priority="4" operator="containsText" text="X">
      <formula>NOT(ISERROR(SEARCH(("X"),(C8))))</formula>
    </cfRule>
  </conditionalFormatting>
  <conditionalFormatting sqref="C22:D26">
    <cfRule type="containsText" dxfId="4" priority="5" operator="containsText" text="X">
      <formula>NOT(ISERROR(SEARCH(("X"),(C22))))</formula>
    </cfRule>
  </conditionalFormatting>
  <conditionalFormatting sqref="C22:D26">
    <cfRule type="containsText" dxfId="1" priority="6" operator="containsText" text="X">
      <formula>NOT(ISERROR(SEARCH(("X"),(C22))))</formula>
    </cfRule>
  </conditionalFormatting>
  <conditionalFormatting sqref="C8:D16 C22:C26 C32:D34">
    <cfRule type="containsText" dxfId="4" priority="7" operator="containsText" text="X">
      <formula>NOT(ISERROR(SEARCH(("X"),(C8))))</formula>
    </cfRule>
  </conditionalFormatting>
  <conditionalFormatting sqref="C32:D34">
    <cfRule type="containsText" dxfId="4" priority="8" operator="containsText" text="X">
      <formula>NOT(ISERROR(SEARCH(("X"),(C32))))</formula>
    </cfRule>
  </conditionalFormatting>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57.29"/>
    <col customWidth="1" min="3" max="3" width="30.71"/>
    <col customWidth="1" min="4" max="6" width="10.71"/>
  </cols>
  <sheetData>
    <row r="1" ht="14.25" customHeight="1">
      <c r="A1" s="54" t="s">
        <v>102</v>
      </c>
      <c r="B1" s="54" t="s">
        <v>103</v>
      </c>
      <c r="C1" s="54" t="s">
        <v>104</v>
      </c>
    </row>
    <row r="2" ht="14.25" customHeight="1">
      <c r="A2" s="55" t="s">
        <v>105</v>
      </c>
      <c r="B2" s="55" t="s">
        <v>106</v>
      </c>
      <c r="C2" s="55" t="s">
        <v>19</v>
      </c>
    </row>
    <row r="3" ht="14.25" customHeight="1">
      <c r="A3" s="13" t="s">
        <v>107</v>
      </c>
      <c r="B3" s="55" t="s">
        <v>108</v>
      </c>
      <c r="C3" s="55" t="s">
        <v>19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14"/>
    <col customWidth="1" min="2" max="2" width="57.29"/>
    <col customWidth="1" min="3" max="3" width="30.71"/>
    <col customWidth="1" min="4" max="6" width="10.71"/>
  </cols>
  <sheetData>
    <row r="1" ht="14.25" customHeight="1">
      <c r="A1" s="54" t="s">
        <v>102</v>
      </c>
      <c r="B1" s="54" t="s">
        <v>103</v>
      </c>
      <c r="C1" s="54" t="s">
        <v>104</v>
      </c>
    </row>
    <row r="2" ht="14.25" customHeight="1">
      <c r="A2" s="55" t="s">
        <v>105</v>
      </c>
      <c r="B2" s="55" t="s">
        <v>109</v>
      </c>
      <c r="C2" s="55" t="s">
        <v>19</v>
      </c>
    </row>
    <row r="3" ht="14.25" customHeight="1">
      <c r="A3" s="13" t="s">
        <v>107</v>
      </c>
      <c r="B3" s="55" t="s">
        <v>108</v>
      </c>
      <c r="C3" s="55" t="s">
        <v>19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3" width="30.71"/>
    <col customWidth="1" min="4" max="6" width="10.71"/>
  </cols>
  <sheetData>
    <row r="1" ht="14.25" customHeight="1">
      <c r="A1" s="54" t="s">
        <v>102</v>
      </c>
      <c r="B1" s="54" t="s">
        <v>103</v>
      </c>
      <c r="C1" s="54" t="s">
        <v>104</v>
      </c>
    </row>
    <row r="2" ht="14.25" customHeight="1">
      <c r="A2" s="56" t="s">
        <v>111</v>
      </c>
      <c r="B2" s="57" t="s">
        <v>113</v>
      </c>
      <c r="C2" s="57" t="s">
        <v>21</v>
      </c>
    </row>
    <row r="3" ht="14.25" customHeight="1">
      <c r="A3" s="56" t="s">
        <v>115</v>
      </c>
      <c r="B3" s="57" t="s">
        <v>117</v>
      </c>
      <c r="C3" s="57" t="s">
        <v>21</v>
      </c>
    </row>
    <row r="4" ht="14.25" customHeight="1">
      <c r="A4" s="56" t="s">
        <v>110</v>
      </c>
      <c r="B4" s="57" t="s">
        <v>118</v>
      </c>
      <c r="C4" s="57" t="s">
        <v>21</v>
      </c>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3" width="30.71"/>
    <col customWidth="1" min="4" max="6" width="10.71"/>
  </cols>
  <sheetData>
    <row r="1" ht="14.25" customHeight="1">
      <c r="A1" s="54" t="s">
        <v>102</v>
      </c>
      <c r="B1" s="54" t="s">
        <v>103</v>
      </c>
      <c r="C1" s="54" t="s">
        <v>104</v>
      </c>
    </row>
    <row r="2" ht="14.25" customHeight="1">
      <c r="A2" s="56" t="s">
        <v>110</v>
      </c>
      <c r="B2" s="57" t="s">
        <v>112</v>
      </c>
      <c r="C2" s="57" t="s">
        <v>21</v>
      </c>
    </row>
    <row r="3" ht="14.25" customHeight="1">
      <c r="A3" s="56" t="s">
        <v>114</v>
      </c>
      <c r="B3" s="57" t="s">
        <v>116</v>
      </c>
      <c r="C3" s="57" t="s">
        <v>21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3" width="30.71"/>
    <col customWidth="1" min="4" max="6" width="10.71"/>
  </cols>
  <sheetData>
    <row r="1" ht="14.25" customHeight="1">
      <c r="A1" s="54" t="s">
        <v>102</v>
      </c>
      <c r="B1" s="54" t="s">
        <v>103</v>
      </c>
      <c r="C1" s="54" t="s">
        <v>104</v>
      </c>
    </row>
    <row r="2" ht="14.25" customHeight="1">
      <c r="A2" s="56" t="s">
        <v>111</v>
      </c>
      <c r="B2" s="57" t="s">
        <v>119</v>
      </c>
      <c r="C2" s="57" t="s">
        <v>101</v>
      </c>
    </row>
    <row r="3" ht="14.25" customHeight="1">
      <c r="A3" s="56" t="s">
        <v>115</v>
      </c>
      <c r="B3" s="57" t="s">
        <v>120</v>
      </c>
      <c r="C3" s="57" t="s">
        <v>101</v>
      </c>
    </row>
    <row r="4" ht="14.25" customHeight="1">
      <c r="A4" s="56" t="s">
        <v>110</v>
      </c>
      <c r="B4" s="57" t="s">
        <v>121</v>
      </c>
      <c r="C4" s="57" t="s">
        <v>101</v>
      </c>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3.57"/>
    <col customWidth="1" min="2" max="2" width="57.29"/>
    <col customWidth="1" min="3" max="3" width="30.71"/>
    <col customWidth="1" min="4" max="6" width="10.71"/>
  </cols>
  <sheetData>
    <row r="1" ht="14.25" customHeight="1">
      <c r="A1" s="54" t="s">
        <v>102</v>
      </c>
      <c r="B1" s="54" t="s">
        <v>103</v>
      </c>
      <c r="C1" s="54" t="s">
        <v>104</v>
      </c>
    </row>
    <row r="2" ht="14.25" customHeight="1">
      <c r="A2" s="56" t="s">
        <v>115</v>
      </c>
      <c r="B2" s="57" t="s">
        <v>122</v>
      </c>
      <c r="C2" s="57" t="s">
        <v>21</v>
      </c>
    </row>
    <row r="3" ht="14.25" customHeight="1">
      <c r="A3" s="56" t="s">
        <v>110</v>
      </c>
      <c r="B3" s="57" t="s">
        <v>123</v>
      </c>
      <c r="C3" s="57" t="s">
        <v>21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3" width="30.71"/>
    <col customWidth="1" min="4" max="6" width="10.71"/>
  </cols>
  <sheetData>
    <row r="1" ht="14.25" customHeight="1">
      <c r="A1" s="54" t="s">
        <v>102</v>
      </c>
      <c r="B1" s="54" t="s">
        <v>103</v>
      </c>
      <c r="C1" s="54" t="s">
        <v>104</v>
      </c>
    </row>
    <row r="2" ht="14.25" customHeight="1">
      <c r="A2" s="58" t="s">
        <v>110</v>
      </c>
      <c r="B2" s="59" t="s">
        <v>124</v>
      </c>
      <c r="C2" s="57" t="s">
        <v>101</v>
      </c>
    </row>
    <row r="3" ht="14.25" customHeight="1">
      <c r="A3" s="56" t="s">
        <v>115</v>
      </c>
      <c r="B3" s="59" t="s">
        <v>124</v>
      </c>
      <c r="C3" s="57" t="s">
        <v>101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rintOptions/>
  <pageMargins bottom="0.75" footer="0.0" header="0.0" left="0.7" right="0.7" top="0.75"/>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4.14"/>
    <col customWidth="1" min="2" max="2" width="57.29"/>
    <col customWidth="1" min="3" max="3" width="30.71"/>
    <col customWidth="1" min="4" max="6" width="10.71"/>
  </cols>
  <sheetData>
    <row r="1" ht="14.25" customHeight="1">
      <c r="A1" s="54" t="s">
        <v>102</v>
      </c>
      <c r="B1" s="54" t="s">
        <v>103</v>
      </c>
      <c r="C1" s="54" t="s">
        <v>104</v>
      </c>
    </row>
    <row r="2" ht="14.25" customHeight="1">
      <c r="A2" s="58" t="s">
        <v>110</v>
      </c>
      <c r="B2" s="59" t="s">
        <v>125</v>
      </c>
      <c r="C2" s="57" t="s">
        <v>101</v>
      </c>
    </row>
    <row r="3" ht="14.25" customHeight="1">
      <c r="A3" s="56" t="s">
        <v>115</v>
      </c>
      <c r="B3" s="59" t="s">
        <v>126</v>
      </c>
      <c r="C3" s="57" t="s">
        <v>101</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